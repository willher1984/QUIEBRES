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CUADRILLAS\"/>
    </mc:Choice>
  </mc:AlternateContent>
  <xr:revisionPtr revIDLastSave="0" documentId="8_{E8FBE969-D99E-4929-98C6-1FC113339992}" xr6:coauthVersionLast="47" xr6:coauthVersionMax="47" xr10:uidLastSave="{00000000-0000-0000-0000-000000000000}"/>
  <bookViews>
    <workbookView xWindow="-120" yWindow="-120" windowWidth="20730" windowHeight="11040" xr2:uid="{00000000-000D-0000-FFFF-FFFF00000000}"/>
  </bookViews>
  <sheets>
    <sheet name="AGOSTO 2026" sheetId="1" r:id="rId1"/>
    <sheet name="TD" sheetId="2" r:id="rId2"/>
    <sheet name="Hoja1" sheetId="3" r:id="rId3"/>
  </sheets>
  <definedNames>
    <definedName name="_xlnm._FilterDatabase" localSheetId="0" hidden="1">'AGOSTO 2026'!$A$1:$U$397</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2" i="1"/>
  <c r="AF13" i="2"/>
  <c r="AF17" i="2" s="1"/>
  <c r="AF10" i="2"/>
  <c r="AF9" i="2"/>
  <c r="AF8" i="2"/>
  <c r="AF7" i="2"/>
  <c r="AF18" i="2" l="1"/>
  <c r="AF19" i="2"/>
  <c r="AF14" i="2"/>
</calcChain>
</file>

<file path=xl/sharedStrings.xml><?xml version="1.0" encoding="utf-8"?>
<sst xmlns="http://schemas.openxmlformats.org/spreadsheetml/2006/main" count="6509" uniqueCount="2042">
  <si>
    <t>Count of ORDEN DE TRABAJO</t>
  </si>
  <si>
    <t>FECHA DE EJECUCION 1</t>
  </si>
  <si>
    <t xml:space="preserve"> Service Items name</t>
  </si>
  <si>
    <t>Item Code</t>
  </si>
  <si>
    <t>TECNICO</t>
  </si>
  <si>
    <t>Q Ordenes atendidas</t>
  </si>
  <si>
    <t>Q días trabajados</t>
  </si>
  <si>
    <t>Special Fault Handling Service team (Car)</t>
  </si>
  <si>
    <t>350001056056</t>
  </si>
  <si>
    <t>Special Fault Handling Service team (Moto)</t>
  </si>
  <si>
    <t>350001056055</t>
  </si>
  <si>
    <t>MES</t>
  </si>
  <si>
    <t>ORDEN DE TRABAJO</t>
  </si>
  <si>
    <t>NUMERO DE CUENTA</t>
  </si>
  <si>
    <t>NOMBRE DEL CLIENTE</t>
  </si>
  <si>
    <t>DIRECCION</t>
  </si>
  <si>
    <t>PROVEEDOR SUSPENDIO</t>
  </si>
  <si>
    <t>COMENTARIO</t>
  </si>
  <si>
    <t>NODO</t>
  </si>
  <si>
    <t>RESULTADO</t>
  </si>
  <si>
    <t>CODIGO</t>
  </si>
  <si>
    <t>OBSERVACIONES</t>
  </si>
  <si>
    <t>CABLE BAJA FRICCION</t>
  </si>
  <si>
    <t>CABLE INDOOR</t>
  </si>
  <si>
    <t>TENSORES</t>
  </si>
  <si>
    <t>FECHA DE SUSPENSION</t>
  </si>
  <si>
    <t>TIPO VEHICULO</t>
  </si>
  <si>
    <t>TOTAL MOTO</t>
  </si>
  <si>
    <t>TOTAL CARROS</t>
  </si>
  <si>
    <t>TOTAL MOTO-CARROS</t>
  </si>
  <si>
    <t>N/A</t>
  </si>
  <si>
    <t>CARRO</t>
  </si>
  <si>
    <t>ZTE-COLVATEL</t>
  </si>
  <si>
    <t>FONTIBON</t>
  </si>
  <si>
    <t>NO VIABLE</t>
  </si>
  <si>
    <t>CESAR HERNANDEZ</t>
  </si>
  <si>
    <t>CTA COMPLETO</t>
  </si>
  <si>
    <t>ZTE-BFTEL</t>
  </si>
  <si>
    <t>CHICO</t>
  </si>
  <si>
    <t>APLAZAMIENTO</t>
  </si>
  <si>
    <t>ZTE-NETWORKING</t>
  </si>
  <si>
    <t>EDWIN DIAZ SIERRA</t>
  </si>
  <si>
    <t>MOTO</t>
  </si>
  <si>
    <t>SOLUCIONADA</t>
  </si>
  <si>
    <t xml:space="preserve"> se valida ruta de acceso a predio presenta obstrucción</t>
  </si>
  <si>
    <t>TOBERIN</t>
  </si>
  <si>
    <t>ZTE-CONECTAR</t>
  </si>
  <si>
    <t>Técnico valida en predio, sonda no pasa, se requiere cuadrilla de quiebre</t>
  </si>
  <si>
    <t>SANTA PAZ</t>
  </si>
  <si>
    <t>FREDY CORREDOR GROSSO</t>
  </si>
  <si>
    <t>CALANDAIMA</t>
  </si>
  <si>
    <t>HOLANDA</t>
  </si>
  <si>
    <t>JESUS ORLANDO SILVA</t>
  </si>
  <si>
    <t>LUIS ANDRES HOYOS</t>
  </si>
  <si>
    <t xml:space="preserve">realiza validación obstrucción de cdp a toma </t>
  </si>
  <si>
    <t>MUZU</t>
  </si>
  <si>
    <t>DESPACHO</t>
  </si>
  <si>
    <t>BACHUE</t>
  </si>
  <si>
    <t xml:space="preserve">Técnico valida en predio, sonda no pasa, se requiere cuadrilla de quiebre </t>
  </si>
  <si>
    <t>CUNI</t>
  </si>
  <si>
    <t>SANTA INES</t>
  </si>
  <si>
    <t>se valida ruta de acceso a predio presenta obstrucción</t>
  </si>
  <si>
    <t>SUBA</t>
  </si>
  <si>
    <t>CANCELADA</t>
  </si>
  <si>
    <t>ZTE-FODEN</t>
  </si>
  <si>
    <t>Por favor escalar 1502 se valida ruta de acceso a predio presenta obstrucción</t>
  </si>
  <si>
    <t>solucionada por contratista//no aplica visita de cuadrilla</t>
  </si>
  <si>
    <t>MDM-FIBRA-019874385</t>
  </si>
  <si>
    <t>PPT-6096360</t>
  </si>
  <si>
    <t>STEPHANIE NAYLU PETIT USECHI</t>
  </si>
  <si>
    <t>KR 95A 26 38 SUR ET 3 TO 4 AP 105</t>
  </si>
  <si>
    <t>ducteria obstruida no pasa sonda</t>
  </si>
  <si>
    <t>CC-1018404700</t>
  </si>
  <si>
    <t>ANGELA CATALINA ABRIL GARCIA</t>
  </si>
  <si>
    <t>KR 4 17 87 PI 2</t>
  </si>
  <si>
    <t>CC-35465169</t>
  </si>
  <si>
    <t>ANA SILVIA CRUZ ACEVEDO</t>
  </si>
  <si>
    <t>KR 7 67 09 AP 901</t>
  </si>
  <si>
    <t>MDM-FIBRA-019945681</t>
  </si>
  <si>
    <t>CC-79570305</t>
  </si>
  <si>
    <t>HECTOR ALEXANDER GUZMAN MENDOZA</t>
  </si>
  <si>
    <t>CL 48 SUR 87 86 TO 18 AP 169</t>
  </si>
  <si>
    <t>MDM-FIBRA-019925977</t>
  </si>
  <si>
    <t>CC-52254885</t>
  </si>
  <si>
    <t>HILDA PEREZ PEREZ</t>
  </si>
  <si>
    <t>CL 34A SUR 99A 37 CA 54</t>
  </si>
  <si>
    <t xml:space="preserve"> Se evidencia que la ductería esta obstruida no pasa sonda </t>
  </si>
  <si>
    <t>MDM-FIBRA-019937093</t>
  </si>
  <si>
    <t>CC-1032490446</t>
  </si>
  <si>
    <t>BRAYAN ESNEIDER CARVAJAL MORALES</t>
  </si>
  <si>
    <t>DG 167 12 69 IN 41</t>
  </si>
  <si>
    <t>Ducteria obstruida</t>
  </si>
  <si>
    <t>MDM-FIBRA-019927774</t>
  </si>
  <si>
    <t>CC-1019602476</t>
  </si>
  <si>
    <t>DAVID ALEJANDRO TRIANA GARCIA</t>
  </si>
  <si>
    <t>CL 7 90 81 CA 1</t>
  </si>
  <si>
    <t>CC-28838371</t>
  </si>
  <si>
    <t>MARIA LUZ STHER RESTREPO SANCHEZ</t>
  </si>
  <si>
    <t>CL 7 90 76 CA 67</t>
  </si>
  <si>
    <t>Ducteriba obstruida no pasa sonda se requiere apoyo de cuadrilla</t>
  </si>
  <si>
    <t>Se evidencia que la ductería esta obstruida, no pasa sonda</t>
  </si>
  <si>
    <t>MDM-FIBRA-019994727</t>
  </si>
  <si>
    <t>MDM-FIBRA-019945932</t>
  </si>
  <si>
    <t>NIT-901478770</t>
  </si>
  <si>
    <t>MONTOYA Y FLOREZ ABOGADOS SA</t>
  </si>
  <si>
    <t>KR 11A 93 61 OF 402</t>
  </si>
  <si>
    <t>se valida en predio, dónde se envía sonda, avanza aproximadamente 2 metros y se encuentra obstrucción, toca cablear desde predio hasta la furukawa ubicada en sótano 2</t>
  </si>
  <si>
    <t>CC-51863786</t>
  </si>
  <si>
    <t>ANA MARIA OTERO LUGO</t>
  </si>
  <si>
    <t>KR 14 127 25 AP 706</t>
  </si>
  <si>
    <t>Se valida en predio sonda pasa 3 /4 metros se tranca no avanza servicio de claro operativo imposibilidad técnica.</t>
  </si>
  <si>
    <t>se realiza sondeo desde la canalizacion, encontrandose obstruccion</t>
  </si>
  <si>
    <t>60 F8</t>
  </si>
  <si>
    <t>MDM-FIBRA-019991123</t>
  </si>
  <si>
    <t>MDM-FIBRA-019973310</t>
  </si>
  <si>
    <t>MDM-FIBRA-019990209</t>
  </si>
  <si>
    <t>MDM-FIBRA-019994143</t>
  </si>
  <si>
    <t>MDM-FIBRA-020005394</t>
  </si>
  <si>
    <t>MDM-FIBRA-020003032</t>
  </si>
  <si>
    <t>MDM-FIBRA-019984812</t>
  </si>
  <si>
    <t>MDM-FIBRA-019960538</t>
  </si>
  <si>
    <t>MDM-FIBRA-020000935</t>
  </si>
  <si>
    <t>MDM-FIBRA-020000618</t>
  </si>
  <si>
    <t>MDM-FIBRA-019969840</t>
  </si>
  <si>
    <t>MDM-FIBRA-020011394</t>
  </si>
  <si>
    <t>*Orden No viable*
MDM-FIBRA-019925977
Se realiza validacion desde caja fachada se envía sonda hasta llegar a caja de paso en piso y de ahí se va caja a caja hasta llegar a caja de paso en la esquina, desde la esquina se debe llegar al strip telefonico, pero del strip telefonico no hay comunicación hacia la nap asignada, ya que no hay un ducto que lleve hacia la caja de paso donde se encuentran varias nap, desde la nap se sigue el cable de alimentación que comunica hacia afuera del conjunto, pero no ingresa hacia el strip telefonico donde se de evidencia la ruta para la casas, personas de la demás propiedades informaron que ya se paso una carta a la administración para dar solución. No se generan daños ni pérdidas durante la validación. Tecnico Luis Hoyos</t>
  </si>
  <si>
    <t>CC-1011095753</t>
  </si>
  <si>
    <t>CARLOS ANDRES DÍAZ CORREDOR</t>
  </si>
  <si>
    <t>KR 116B 74A 65 TO 7 AP 102</t>
  </si>
  <si>
    <t>MDM-FIBRA-019991123
Estado caso
NO CONTACTADO
Observaciones
tecnico en predio, cliente no se encuentra y no contesta contacto / Observaciones CD Cliente CARLOS ANDRES DÍAZ CORREDOR numero de contacto 3105507486 3222913777 no contactado BACK:DANNA CORREA TK 173778</t>
  </si>
  <si>
    <t>CC-1014196636</t>
  </si>
  <si>
    <t>LADY PAOLA ARIAS VARELA</t>
  </si>
  <si>
    <t>CL 157A 92 06 BQ 3 AP 520</t>
  </si>
  <si>
    <t xml:space="preserve"> observación: Se evidencia que la ductería esta obstruida, no pasa sonda</t>
  </si>
  <si>
    <t>*Orden Solucionada*
MDM-FIBRA-019973310
Se instalan 15 mts de drop de baja fricción desde la caja de paso por ducto de telefonía, se envia el drop hasta la toma principal en alcoba luego de la misma toma se envía el drop a la toma de la sala, se válida la toma de TV y el ingreso está bien pero de esta toma hacia las demás no hay viabilidad porque quitaron las tomas, se deja cableado en punta donde también se evidencia que tecnico dejo en daño. se evidencia cableado empotrado. Nota: El técnico que realiza la validación buscando en la caja de paso equivocada, dejo un servicio en daño AP 518. No se generan daños ni pérdidas durante la validación. Tecnico Edwin Diaz</t>
  </si>
  <si>
    <t>CC-52093985</t>
  </si>
  <si>
    <t>MARIA GLORIA MENDOZA PEÑA</t>
  </si>
  <si>
    <t>KR 102 72 47 SUR CA 206</t>
  </si>
  <si>
    <t>onstruccion entre caja de paso de nap a predio sonda avanza aproximadamente 6 metros y tranca</t>
  </si>
  <si>
    <t>*Aplazamiento*
MDM-FIBRA-019990209
tecnico realizando validación de obstrucción, cliente indica que reprograma visita para 06-08 en am debido a que tiene q salir / Observaciones CD MARIA GLORIA MENDOZA PEÑA 3208931662 contactado, *confirma agenda 06-08 jueves en PM* BACK MILDRED ZUÑIGA TK:173869</t>
  </si>
  <si>
    <t>CC-51917895</t>
  </si>
  <si>
    <t>GLORIA ALICIA GOMEZ MUÑOZ</t>
  </si>
  <si>
    <t>CL 73 11 52 AP 203</t>
  </si>
  <si>
    <t>*Orden Solucionada*
MDM-FIBRA-019994143
Se realiza validación y se busca la ruta desde la nap asignada hasta el predio. Se extiende fibra desde la nap hasta el  punto requerido por el cliente por canaleta. Se pasa por 2 camaras y 1 caja, Se deja FIBRA en punta en la nap y de alli hasta donde se va a dejar el punto. SE REALIZO CAMBIO DE NAP A LA N2CO22_J22. Se tendieron 50 mts de baja fricción. No se generan daños ni pérdidas durante la validación. Tecnico Jesus Silva</t>
  </si>
  <si>
    <t>CC-1002653897</t>
  </si>
  <si>
    <t>SIMON SERNA ZULUAGA</t>
  </si>
  <si>
    <t>TV 2A 68 50 AP 403</t>
  </si>
  <si>
    <t>se validan todas las tomas del predio la sonda no pasa del predio a la caja de paso  se valida obtruccion como a 15 metros no ingresa de afuera para adentro ni de adentro asia afuera</t>
  </si>
  <si>
    <t>*Orden Solucionada*
MDM-FIBRA-020005394
Se ingresa al cliente y se validan tomas telefónicas y caja de distribución en el cuarto del chut.Se realiza sondeo de ductos con dificultad para pasar la sonda por tramo largo se logra pasar la sonda utilizando suavizantes y se valida ruta.Se inicia tendido de fibra óptica desde el punto requerido por el cliente saliendo a la caja de distribución en el cuarto del chut del tercer piso donde se encuentra la CP asignada. Se tienden 40 MTS  de fibra óptica de baja fricción. No se generan daños ni pérdidas durante la validación. Tecnico Fredy Corredor</t>
  </si>
  <si>
    <t>NIT-901186206</t>
  </si>
  <si>
    <t>EDIFICIO ALIANZA 58 - PROPIECDAD HORIZONTAL</t>
  </si>
  <si>
    <t>CL 58 13 68 AD 1</t>
  </si>
  <si>
    <t>No se puede realizar instalación ya que no existe comunicación desde la administración hasta la nap para realizar el tendido de la fibra</t>
  </si>
  <si>
    <t>*Orden Solucionada*
MDM-FIBRA-020003032
Se realiza validación y se busca la ruta desde la nap asignada hasta el predio. Se tiende fibra desde la nap hasta el  punto requerido por el cliente por canaleta. Se pasa por 5 cajas que están en el techo, Se deja FIBRA en punta en la nap (pdp) y de alli hasta donde se va a dejar el punto.
SE REALIZO CAMBIO DE NAP A LA N3CO05_355. Se utilizan 40 mts de baja fricción. No se generan daños ni pérdidas durante la validación. Tecnico Jesus Silva</t>
  </si>
  <si>
    <t>CC-35254468</t>
  </si>
  <si>
    <t>ADRIANA CAROLINA TORRES CLAVIJO</t>
  </si>
  <si>
    <t>KR 83A 75 50 CA 223</t>
  </si>
  <si>
    <t>*Orden Solucionada*
MDM-FIBRA-019984812
Se realiza validación. Se evidencia ducteria obstruida, se aplica jabón líquido y agua caliente dentro del predio y en caja de paso mural. Se extiende fibra desde la NAP, pasando por 4 cajas de paso peatonal (Canalizado) y 1 mural. Se ingresa a predio por toma principal de piso 1 y se deja en punto requerido por el cliente. Se gastan 70 mts de Baja Fricción. No se generan daños ni pérdidas durante la validación. Tecnico Cesar Hernandez</t>
  </si>
  <si>
    <t>CC-1005482532</t>
  </si>
  <si>
    <t>SERGIO ANDRES MONTERO SILVA</t>
  </si>
  <si>
    <t>CL 127A BIS A 15 37 AP 502</t>
  </si>
  <si>
    <t>Orden solucionada 
Se instalan 28 MTRS de drop de baja fricción desde la caja de paso por ducto de citofonia enviamos el drop hasta la toma principal en la cocina .se evidencia que taparon la toma principal d e teléfonos y la toma de citofono de un cuarto por lo tanto tocó enviar el drop por fuera de la toma perfila do por el borde llevando el drop por guardescobas hacia donde se encontraba el anterior servicio donde dejamos reserva para la instalación del servicio . Ya que ahí se evidencian cableado existente UTP q va en ambas direcciones lado oriental y lado occidental del apartamento esto para instalar dos ap .</t>
  </si>
  <si>
    <t>CC-1023861190</t>
  </si>
  <si>
    <t>SOLANYI GARCIA PEREZ</t>
  </si>
  <si>
    <t>KR 2 ESTE 6C 24 TO 1 AP 1801</t>
  </si>
  <si>
    <t xml:space="preserve"> no se puede ejecutar ya que no pasa la sonda del apartamento a la caja de piso. Se envía sonda del apartamento hacia la caja y de la caja al apartamento y no pasa la sonda no hay más rutas</t>
  </si>
  <si>
    <t>*Orden Solucionada*
MDM-FIBRA-020000935
Se ingresa al cliente y se validan tomas telefónicas y caja de distribución en la  bajada de escaleras. 
Se realiza sondeo de ductos en validación la sonda se quedaba en la curva de subida se logra pasar la sonda utilizando métodos de pesca y se válida ruta. Se inicia tendido de fibra óptica desde el punto requerido por el cliente saliendo a la caja de distribución en escalera donde se encuentra la CT asignada. Se utilizan 20 MTS de F.O de baja fricción. No se generan daños ni pérdidas durante la validación. Tecnico Fredy Corredor</t>
  </si>
  <si>
    <t>NIT-900089491</t>
  </si>
  <si>
    <t>CONJUNTO PARQUE RESIDENCIAL LOS CEREZOS DE SUBA PH</t>
  </si>
  <si>
    <t>KR 111A 145 87 AD 1</t>
  </si>
  <si>
    <t>NO VIABLE, Técnico valida en predio, pero no es viable ya que no hay comunicación de la nap al predio donde va quedar el servicio</t>
  </si>
  <si>
    <t>NO VIABLE,Se llega a predio, se realiza validacion y sondeo desde toma en cuarto principal por ducteria galvanizada, sonda da sólo ingresa 3 mts y tranca, cables existentes no se mueven, hay obstruccion en la ducteria que comunica hacia caja de paso, se valida para realizar tendido por pasillo interno con fibra blanca pero administracion no da autorizacion de cableado por areas comunes, no tenemos mas rutas de acceso hacia el apto. No se generan daños ni pérdidas durante la validacion.</t>
  </si>
  <si>
    <t>PPT-5462916</t>
  </si>
  <si>
    <t>MILAGROS DEL VALLE DUARTE</t>
  </si>
  <si>
    <t>KR 5A 39 29 SUR</t>
  </si>
  <si>
    <t>NO VIABLE, nap asignado a 4 cuadras, aproximadamente 250 MTS e fibra, naps cercanos copados, no aplica cuadrilla</t>
  </si>
  <si>
    <t>MDM-FIBRA-019976315</t>
  </si>
  <si>
    <t>MDM-FIBRA-019966250</t>
  </si>
  <si>
    <t>MDM-FIBRA-019967936</t>
  </si>
  <si>
    <t>MDM-FIBRA-019960600</t>
  </si>
  <si>
    <t>MDM-FIBRA-019992823</t>
  </si>
  <si>
    <t>MDM-FIBRA-019999432</t>
  </si>
  <si>
    <t>MDM-FIBRA-020004279</t>
  </si>
  <si>
    <t>MDM-FIBRA-019997449</t>
  </si>
  <si>
    <t>MDM-FIBRA-020006759</t>
  </si>
  <si>
    <t>MDM-FIBRA-020014659</t>
  </si>
  <si>
    <t>MDM-FIBRA-019976412</t>
  </si>
  <si>
    <t>MDM-FIBRA-020022595</t>
  </si>
  <si>
    <t>MDM-FIBRA-020011525</t>
  </si>
  <si>
    <t>MDM-FIBRA-020007805</t>
  </si>
  <si>
    <t>MDM-FIBRA-020007742</t>
  </si>
  <si>
    <t>Orden Solucionada
MDM-FIBRA-019945932
Se instalan 40 MTRS de drop de baja fricción desde la caja de paso por ducto de TV enviamos el drop hasta la toma principal ahi es donde usuaria solicita el servicio . Se validaron tomas de teléfono y la toma principal de la cocina quedó tapada con un mueble. No se generan daños ni pérdidas durante la instalacion. Tecnico Edwin diaz</t>
  </si>
  <si>
    <t>CC-1001168075</t>
  </si>
  <si>
    <t>YENSY VALENTINA LOPEZ NOVA</t>
  </si>
  <si>
    <t>TV 73B 57R 89 SUR TO 2 AP 102</t>
  </si>
  <si>
    <t xml:space="preserve">Ducteria obstruida </t>
  </si>
  <si>
    <t>MDM-FIBRA-019976315
estado caso
NO CONTACTADO
observaciones
CD HORA:14:47 TK:174065 ORDEN:MDM-FIBRA-019976315 NOTAS CD : 3013874666 no contestan 3134288331 no contestan BACK:YESSICA DIAZ NOTAS TECNICO: cuadrilla en predio, se marca a contactos sin respuesta, seguridad indica que no hay no hay nadie</t>
  </si>
  <si>
    <t>*Orden No viable*
MDM-FIBRA-019994727
Se llega a predio, se habla con el usuario el cual autoriza realizar validación, se obtiene ruta desde el cuarto de equipos hasta el pasillo cerca al ascensor y desde el Sótano 2 hasta el Sótano 1. De piso 4 a Sótano 1 no se puede realizar sondeo ya que al foso existente no se logra llegar ya que esta retirado para poder realizar sondeo. Única ruta de comunicación. Las únicas fibras existentes son 3 canales dedicados, los cuales están todos activos y tampoco existen  guías que comuniquen del 4 piso a Sótano 1. No se generan daños ni pérdidas durante la validacion. autoriza supervisor Yeison martinez.</t>
  </si>
  <si>
    <t>CC-80903229</t>
  </si>
  <si>
    <t>OSCAR EDUARDO RAYO SANCHEZ</t>
  </si>
  <si>
    <t>KR 31B 5C 10 LC 2</t>
  </si>
  <si>
    <t>drop a nap desde local piso 1 a sótano, sonda tranca, sin cables, posible ducto desempatado, sin operador</t>
  </si>
  <si>
    <t>Aplazamiento
MDM-FIBRA-019966250
estado caso
AGENDADO OK CUADRILLA
observaciones
TK:173959 ORDEN:MDM-FIBRA-019966250 NOTAS CD : 3224514425-3105653670 OSCAR EDUARDO RAYO SANCHEZ cliente recibe mañana pm BACK:YESSICA DIAZ NOTAS TECNICO: cuadrilla en predio, se marca a contacto, cliente india que se encuentra de viaje, solicita que le marquen para programar visita</t>
  </si>
  <si>
    <t>CC-1023897931</t>
  </si>
  <si>
    <t>LADY NATALY MORALES RODRIGUEZ</t>
  </si>
  <si>
    <t>DG 17C SUR 24I 49</t>
  </si>
  <si>
    <t>Orden no se puede ejecutar ya que no pasa la sonda de la caja de paso al rac al parecer hay otra caja sellada</t>
  </si>
  <si>
    <t>Aplazamiento
MDM-FIBRA-019967936
estado caso
AGENDADO OK CUADRILLA
observaciones
CD HORA:2026-08-03 09:19:34 TK:173966 ORDEN:MDM-FIBRA-019967936 NOTAS U OBSERVACIONES CLARAS: Cliente LADY NATALY MORALES RODRIGUEZ numero de contacto 3154403804 indica que puede recibir el dia martes am1 BACK:DANNA CORREA NOTAS TECNICO: cuadrilla en predio, cliente indica que no puede recibir, solicita reprogramar para el dia 04-08 en am</t>
  </si>
  <si>
    <t>CC-1042063958</t>
  </si>
  <si>
    <t>MATEO DELGADO GALEANO</t>
  </si>
  <si>
    <t>KR 13A 20 95 AP 405</t>
  </si>
  <si>
    <t xml:space="preserve"> encuentra obstrucción entre cajas de paso toca cablear de pto hasta nap </t>
  </si>
  <si>
    <t>MDM-FIBRA-019960600
estado caso
NO CONTACTADO
observaciones
CD HORA:2026-08-03 08:52:21 TK:173958 ORDEN:MDM-FIBRA-019960600 NOTAS U OBSERVACIONES CLARAS:MATEO DELGADO GALEANO 3113738238 BUZON DE MENSAJES SIN RESPUESTA NUMERO DE CONTACTO BACK: NATALIA JULIO NOTAS TECNICO:cuadrilla en predio, se marca a contacto sin respuesta Herrera Cantor Edison Javier</t>
  </si>
  <si>
    <t>CC-1057591172</t>
  </si>
  <si>
    <t>JAVIER DAVID RIOS SANCHEZ</t>
  </si>
  <si>
    <t>CL 12A 71B 60 ET 2 CA 171</t>
  </si>
  <si>
    <t>obstrucción entre cajas de paso para llegar a la nap asignada</t>
  </si>
  <si>
    <t>*Orden Solucionada*
MDM-FIBRA-019992823
Se llega a predio, se habla con el usuario, se realiza validación y se busca la ruta desde la nap asignada hasta el predio. Se gastan 60 mts de baja fricción. No se generan daños ni pérdidas durante la instalacion. Tecnico jesus silva</t>
  </si>
  <si>
    <t>CC-1140870987</t>
  </si>
  <si>
    <t>LAURENT MARCELA OSORIO ELJAIK</t>
  </si>
  <si>
    <t>CL 4 31 17 AP 301</t>
  </si>
  <si>
    <t>realiza validación Obstrucción  no pasa la sonda</t>
  </si>
  <si>
    <t>MDM-FIBRA-019999432
NO CONTACTADO
observaciones
CD HORA:8:29 TK:173953 ORDEN:MDM-FIBRA-019999432 NOTAS CD : 3187661584-3103206153 no contestan BACK:YESSICA DIAZ NOTAS TECNICO: cuadrilla en predio, se marca a contactos sin respuesta</t>
  </si>
  <si>
    <t>CC-9314168</t>
  </si>
  <si>
    <t>HERNANDO RAFAEL MULETT HOYOS</t>
  </si>
  <si>
    <t>CL 127 19A 10 CN 409</t>
  </si>
  <si>
    <t>ducteria obstruida se busca por todo lado no hay probabilidad de ingresar el cable a hacia la zona comun</t>
  </si>
  <si>
    <t xml:space="preserve">*Orden Solucionada*
MDM-FIBRA-020004279
Se llega a predio, se habla con el usuario el cual autoriza realizar validación. Se evidencia ducteria obstruida, se aplica jabón líquido y agua caliente dentro del predio. Por último se realiza pesca. Se tiende fibra desde el cuarto de telecomunicaciones, se ingresa por pasillo de consultorios, se figura por guardaescobas, se ingresa a consultorio por perforación realizada y se deja en punto requerido. Se gastan 50 mts de Baja Fricción. No se generan daños ni pérdidas durante la instalacion. Tecnico cesar hernandez
</t>
  </si>
  <si>
    <t>CC-17658060</t>
  </si>
  <si>
    <t>CARLOS ANDRES RAMIREZ SEGURA</t>
  </si>
  <si>
    <t>KR 91 137 59 TO 1 AP 1408</t>
  </si>
  <si>
    <t>ducteria obstruida se busca por todo lado no hay probabilidad de ingresar el cable zona comun</t>
  </si>
  <si>
    <t>Aplazamiento
MDM-FIBRA-019997449
estado caso
AGENDADO OK CUADRILLA
observaciones
CD HORA:11:56 TK:174013 ORDEN:MDM-FIBRA-019997449 NOTAS CD : 3001381929 CARLOS ANDRÉS RAMÍREZ SEGURA cliente reagenda para el sabado am BACK:YESSICA DIAZ NOTAS TECNICO: cuadrilla en predio, cliente indica que no sabía de la visita,, solicita reprogramar para el dia sabado 08-08 en am</t>
  </si>
  <si>
    <t>CC-1033706138</t>
  </si>
  <si>
    <t>CINDY DAHANA SIERRA RODRIGUEZ</t>
  </si>
  <si>
    <t>KR 98B 72 25 SUR CA 241</t>
  </si>
  <si>
    <t xml:space="preserve"> Realiza validación obstrucción de nap a predio pasando por 3 cdp</t>
  </si>
  <si>
    <t>*Orden Solucionada*
MDM-FIBRA-020006759
Se ingresa al cliente, se validan tomas telefónicas y caja de distribución en anden, se realiza sondeo de ductos se logra pasar la sonda, se realiza el tendido de fibra óptica desde el punto requerido por el cliente saliendo a la caja de distribución en anden pasando por tres cajas más y llegando a la caja CPS donde se encuentra la nap asignada. Se gastan 90 mts de F.O de baja fricción. No se generan daños ni pérdidas durante la instalacion. Tecnico fredy corredor</t>
  </si>
  <si>
    <t>CC-1024552956</t>
  </si>
  <si>
    <t>HEINER DANILO LOZANO LOZANO</t>
  </si>
  <si>
    <t>KR 97C 49C 15 SUR CA 65</t>
  </si>
  <si>
    <t>*Aplazamiento*
MDM-FIBRA-020014659
estado caso
NO CONTACTADO
observaciones
CD HORA:2026-08-03 10:33:49 TK:173987 ORDEN:MDM-FIBRA-020014659 NOTAS U OBSERVACIONES CLARAS: HEINER DANILO LOZANO LOZANO 3224777313 SIN RESPUESTA NUMERO DE CONTACTO, BUZON DE VOZ BACK: NATALIA JULIO NOTAS TECNICO:cuadrilla en predio, se marca a contacto, cliente indica que no puede recibir, solicita reprogramar para el dia 08-08 en pm Quintero Gomez Carlos Andres</t>
  </si>
  <si>
    <t>CC-41703281</t>
  </si>
  <si>
    <t>MARGARITA TILAGUY VANEGAS</t>
  </si>
  <si>
    <t>DG 62 SUR 20B 30 CA 133</t>
  </si>
  <si>
    <t>Orden Solucionada
MDM-FIBRA-019976412
Se realiza  validacion y sondeo desde caja telefonica ubicada en la sala, se envía sonda a caja fachada, desde alli hasta llegar a caja de paso, luego a caja de paso donde se encuentra la nap asignada.  En predio se deba donde es requerido. Se gastan 50 Mts Baja Friccion. No se generan daños ni pérdidas durante la instalacion. Tecnico luis hoyos</t>
  </si>
  <si>
    <t>CC-52162637</t>
  </si>
  <si>
    <t>RUTH DANY CABALLERO CHICACAUSA</t>
  </si>
  <si>
    <t>CL 47B SUR 23A 70 IN 8 AP 215</t>
  </si>
  <si>
    <t>MDM-FIBRA-020022595
estado caso
NO CONTACTADO
observaciones
CD HORA:2026-08-03 TK:173961 ORDEN:MDM-FIBRA-020022595 NOTAS U OBSERVACIONES CLARAS: RUTH DANY CABALLERO CHICACAUSA 3142598533 3223611789 SIN RESPUESTA AMBOS NUMEROS DE CONTACTO, BUZON DE MENSAJES BACK: NATALIA JULIO NOTAS TECNICO:cuadrilla en predio, se marca a contactos sin respuesta, seguridad indica que no responde DIEGO ALEJANDRO CARDONA GUEVARA</t>
  </si>
  <si>
    <t>CC-51915296</t>
  </si>
  <si>
    <t>DELIA YOLIMA ROZO BRICEÑO</t>
  </si>
  <si>
    <t>DG 3B 8 55 ESTE PI 2</t>
  </si>
  <si>
    <t xml:space="preserve">Orden no se puede ejecutar ya que en la nap asignada hay un panal de abejas por lo cual no podemos llegar hasta la nap ya que tenemos un riesgo biológico. No tenemos más nap cerca para realizar un cambio </t>
  </si>
  <si>
    <t xml:space="preserve">No viable/Orden no se puede ejecutar ya que en la nap asignada hay un panal de abejas por lo cual no podemos llegar hasta la nap ya que tenemos un riesgo biológico. No tenemos más nap cerca para realizar un cambio </t>
  </si>
  <si>
    <t>Cuadrilla quiebres realizo validación con la orden MDM-FIBRA-019897049 indican; Se llega a predio, se habla con el usuario el cual autoriza realizar validación. Se realiza validación desde predio hasta primer caja de paso en anden. Se realiza sondeo con sonda amarilla desde caja de paso peatonal hacia cámara donde se encuentra nap asignada pero sonda tranca. se evidencia ducto caído que llega a cámara. sonda se alcanza a oír al fondo que golpea pero no avanza ni hace curva. única ruta de acceso desde la nap asígnada. No se generan daños ni pérdidas durante la validacion. autoriza supervisor yeison martinez</t>
  </si>
  <si>
    <t>CC-52962990</t>
  </si>
  <si>
    <t>JOHANNA LOZANO RAMIREZ</t>
  </si>
  <si>
    <t>KR 41A 8 25 SUR AP 306</t>
  </si>
  <si>
    <t xml:space="preserve"> se evidencia que hay una obstrucción desde la caja de paso hacia  el apt , se sondea  y la sonda tranca  , se sondea viseverda  y tranca igualmente, la ruta va desde la toma de telefono hasta la nap</t>
  </si>
  <si>
    <t>Orden Solucionada
MDM-FIBRA-020007742
Se llega a predio, se habla con el usuario, se realiza validación y se busca la ruta desde la nap asignada hasta el predio.  Se gastan 50 mts de baja fricción.  No se generan daños ni pérdidas durante la instalacion. Tecnico jesus silva</t>
  </si>
  <si>
    <t>MDM-FIBRA-020006101</t>
  </si>
  <si>
    <t>MDM-FIBRA-020016834</t>
  </si>
  <si>
    <t>MDM-FIBRA-019972569</t>
  </si>
  <si>
    <t>MDM-FIBRA-019971855</t>
  </si>
  <si>
    <t>MDM-FIBRA-019966624</t>
  </si>
  <si>
    <t>MDM-FIBRA-020006628</t>
  </si>
  <si>
    <t>MDM-FIBRA-019994098</t>
  </si>
  <si>
    <t>MDM-FIBRA-019997992</t>
  </si>
  <si>
    <t>MDM-FIBRA-019905352</t>
  </si>
  <si>
    <t>MDM-FIBRA-019667097</t>
  </si>
  <si>
    <t>MDM-FIBRA-020006778</t>
  </si>
  <si>
    <t>MDM-FIBRA-020023874</t>
  </si>
  <si>
    <t>MDM-FIBRA-020014003</t>
  </si>
  <si>
    <t>MDM-FIBRA-020024287</t>
  </si>
  <si>
    <t>MDM-FIBRA-020015032</t>
  </si>
  <si>
    <t>MDM-FIBRA-020013506</t>
  </si>
  <si>
    <t>CC-1015999518</t>
  </si>
  <si>
    <t>DIANA KARINA CELY TEATINO</t>
  </si>
  <si>
    <t>KR 98A 15A 70 IN 18 AP 103</t>
  </si>
  <si>
    <t>obstrucción entre tubería de paso de predio a pasillo sonda avanza aproximadamente un metro y tranca</t>
  </si>
  <si>
    <t>Orden Cancelada
MDM-FIBRA-020006101
estado caso
CLIENTE DESISTE
observaciones
CD HORA:8:56 TK:174145 ORDEN:MDM-FIBRA-020006101 NOTAS CD : 3118146294 DIANA KARINA CELY TEATINO cliente canceló servicio BACK:YESSICA DIAZ NOTAS TECNICO: cuadrilla en predio, cliente indica que decidió cancelar el servicio</t>
  </si>
  <si>
    <t>CC-52900904</t>
  </si>
  <si>
    <t>EDITH ANDREA QUECANO SALGADO</t>
  </si>
  <si>
    <t>KR 81B 19B 50 BQ 13 AP 302</t>
  </si>
  <si>
    <t xml:space="preserve">OBSTRUCCIÓN ENTRE CAJAS DE COMUNICACIÓN INTERNAS DEL PREDIO DONDE SE ESTÁ REALIZANDO LA INSTALACIÓN HAY CABLES DE GUÍA CLIENTE PIDE NO MOVER CABLES YA QUE SON DE OTRO OPERADOR </t>
  </si>
  <si>
    <t>Aplazamiento
MDM-FIBRA-020016834
estado caso
NO CONTACTADO
observaciones
CD HORA:9:580 TK:174161 ORDEN:MDM-FIBRA-020016834 NOTAS CD : 3213718009-3132097619 apagados BACK:YESSICA DIAZ NOTAS TECNICO: cuadrilla en predio, cliente indica que no sabía de visita, solicita reprogramar para el dia 05-08 en pm</t>
  </si>
  <si>
    <t>CC-52250850</t>
  </si>
  <si>
    <t>LIDA EDITH NUÑEZ VALENCIA</t>
  </si>
  <si>
    <t>KR 81B 6B 85 CA 63</t>
  </si>
  <si>
    <t xml:space="preserve"> Ducteria obstruida no pasa sonda se requiere apoyo de cuadrilla quiebre</t>
  </si>
  <si>
    <t>Aplazamiento
MDM-FIBRA-019972569
estado caso
NO CONTACTADO
observaciones
CD HORA:2026-08-04 11:06:55 TK:174189 ORDEN:MDM-FIBRA-019972569 NOTAS U OBSERVACIONES CLARAS: LIDA EDITH NUÑEZ VALENCIA 3209554652 SIN RESPUESTA NUMERO DE CONTACTO, SE VA DIRECTO BUZON DE VOZ BACK: NATALIA JULIO NOTAS TECNICO:cuadrilla e predio, se marca a contacto, cliente solicita reprogramar para el dia 08-08 BRAYAN STIFT PINEDA RUIZ</t>
  </si>
  <si>
    <t>CC-51798649</t>
  </si>
  <si>
    <t>MARTHA CECILIA TRIANA RESTREPO</t>
  </si>
  <si>
    <t>KR 19 127D 55 IN 3 AP 704</t>
  </si>
  <si>
    <t>se valida ruta de acceso a predio presenta obstrucción la sonda solo pasa unos dos metros</t>
  </si>
  <si>
    <t>*Orden Solucionada*
MDM-FIBRA-019971855
Se instalan 24 mtrs de drop de baja fricción desde la caja de paso, por ducto de telefonía enviamos el drop hasta la toma principal,  salimos de la toma perfilando el drop por el guardescobas llegando al punto indicado por la usuaria. Para un punto de TV o AP el técnico debe devolver hasta la toma principal y enviar otro UTP por toma principal para llegar ala habitación principal donde solicitan un ap. cableado existente en el ducto para devolver con el UTP. No se generan daños ni pérdidas durante la instalacion. Tecnico edwin diaz</t>
  </si>
  <si>
    <t>CC-4339315</t>
  </si>
  <si>
    <t>ANDRES ALFREDO MARIN FRANCO</t>
  </si>
  <si>
    <t>KR 90 6D 48 CA 172</t>
  </si>
  <si>
    <t xml:space="preserve"> realiza validacion, encuentra obstrucción entre cajas de paso a cámaras toca cablear de pto hasta nap</t>
  </si>
  <si>
    <t>*Orden Solucionada*
*Hilado*
MDM-FIBRA-019966624
Se llega a predio, se habla con el usuario el cual autoriza realizar validación, se evidencia ducteria en cascada y obstruida. Se aplica jabón líquido, agua caliente dentro del predio y en cajas de paso mural, por último se realizan varias pescas. Se realiza hilado desde la *NAP PRECONECTORIZADA*, pasando por 2 cajas de paso peatonal (Canalizado) y 5 murales. Se ingresa a predio por toma principal en piso 2 y se deja en punto requerido. No se generan daños ni pérdidas durante la instalacion. Tecnico cesar hernandez</t>
  </si>
  <si>
    <t>CC-51999391</t>
  </si>
  <si>
    <t>MARIA DEL CARMEN CASTRO CAMACHO</t>
  </si>
  <si>
    <t>CL 80 111C 98</t>
  </si>
  <si>
    <t xml:space="preserve">no tenemos como enviar el cableado hasta la nap inicial que se encuentra dentro de un conjunto donde no hay cajas de paso dentro del local Se valída afuera y solo hay una caja que tiene comunicación a otro local la cual tiene comunicación con una etapa de codensa </t>
  </si>
  <si>
    <t xml:space="preserve">No viable//no tenemos como enviar el cableado hasta la nap inicial que se encuentra dentro de un conjunto donde no hay cajas de paso dentro del local Se valída afuera y solo hay una caja que tiene comunicación a otro local la cual tiene comunicación con una etapa de codensa </t>
  </si>
  <si>
    <t>CC-1116821470</t>
  </si>
  <si>
    <t>DULCE COROMOTO CACERES CARRERO</t>
  </si>
  <si>
    <t>TV 73B 57R 89 SUR TO 2 AP 304</t>
  </si>
  <si>
    <t>se llega al predio se valida caja de paso  que va hacia el apartamento pero  esta obstruida no llega el cable se envia evidencia y cliente queda enterado</t>
  </si>
  <si>
    <t>Orden Solucionada
MDM-FIBRA-019994098
Se ingresa al cliente, se validan tomas telefónicas y caja de distribución en pasillo, se realiza sondeo de ductos tramo largo y se logra pasar la sonda, se valida tendido de fibra óptica desde el punto requerido por el cliente saliendo a la caja de distribución en pasillo y posteriormente bajando al segundo piso donde se encuentra la nap asignada. Se gastan 35 MTS de F.O de baja fricción. No se generan daños ni pérdidas durante la instalacion. Tecnico fredy corredor</t>
  </si>
  <si>
    <t>CC-52740736</t>
  </si>
  <si>
    <t>YOLIMA BELTRAN MEDINA</t>
  </si>
  <si>
    <t>CL 50 SUR 95A 80 CA 225</t>
  </si>
  <si>
    <t>por duceteria obstruida no pasa sonda</t>
  </si>
  <si>
    <t>*Orden Solucionada*
MDM-FIBRA-019997992
Se empieza validacion y sondeo desde caja telefonica, se pasa a caja fachada hasta llegar a caja de paso en piso, se cruza por  una 2 caja de paso hasta llegar al strip telefonico, y desde alli hasta llegar a la nap asignada. En predio se deja reserva en primer piso ya que donde van a dejar la ONT, esta con candado. Se gastan 90 mts Baja Friccion. No se generan daños ni pérdidas durante la instalacion. Tecnico luis hoyos</t>
  </si>
  <si>
    <t>CC-41746633</t>
  </si>
  <si>
    <t>MARIA MARLENI MONTAÑEZ SANCHEZ</t>
  </si>
  <si>
    <t>KR 81J 56 86 SUR IN 7 AP 504</t>
  </si>
  <si>
    <t>MDM-FIBRA-019905352
estado caso
NO CONTACTADO
observaciones
CD HORA:2026-08-04 09:11:08 TK:174148 ORDEN:MDM-FIBRA-019905352 NOTAS U OBSERVACIONES CLARAS: Cliente MARIA MARLENI MONTAÑEZ SANCHEZ numero de contacto 3202960242 no contactado BACK:NICOLL LOPEZ NOTAS TECNICO:cuadrilla en predio, se marca a contacto sin respuesta, seguridad no da informacion</t>
  </si>
  <si>
    <t>lUIS ANDRES HOYOS</t>
  </si>
  <si>
    <t>CC-52917056</t>
  </si>
  <si>
    <t>YAMILE RAMIREZ SANCHEZ</t>
  </si>
  <si>
    <t>KR 93D 6A 15 IN 9 AP 202</t>
  </si>
  <si>
    <t>Ducteria obstruida no pasa sonda se requiere apoyo de cuadrilla</t>
  </si>
  <si>
    <t>Aplazamiento
MDM-FIBRA-019667097
estado caso
AGENDADO OK CUADRILLA
observaciones
CD HORA:2026-08-04 10:11:44 TK:174171 ORDEN:MDM-FIBRA-019667097 NOTAS U OBSERVACIONES CLARAS: Cliente YAMILE RAMIREZ SANCHEZ numero de contacto 3142747346 recibe dia sabado am1 en la tarde no permiten ingresar BACK:NICOLL LOPEZ NOTAS TECNICO:cuadrilla en predio, se marca a contacto, cliente indica que no puede atender, solicita reprogramar para el dia sabado 08-8 en am</t>
  </si>
  <si>
    <t>CC-66870537</t>
  </si>
  <si>
    <t>GLADIS ADRIANA AGUDELO GAMBOA</t>
  </si>
  <si>
    <t>CL 50 SUR 95A 80 CA 222</t>
  </si>
  <si>
    <t>Ducteria obstruida no pasa sonda, Se realiza validación donde encontramos tubería obstruida tubo se encuentra roto y lleno de barro lo cual la sonda no pasa</t>
  </si>
  <si>
    <t>Orden Solucionada
MDM-FIBRA-020006778
Se realiza validacion y sondeo desde caja telefonica, se pasa a caja fachada, hasta llegar a caja de paso en piso, se cruza por una 2 cajas de paso hasta llegar al strip telefonico, hasta llegar a la nap asignada.  En predio se deja donde es requerido.se gastan 60 mts Baja Friccion. No se generan daños ni pérdidas durante la instalacion. Tecnico Luis hoyos</t>
  </si>
  <si>
    <t>Orden Solucionada
MDM-FIBRA-019967936
Se ingresa al cliente se validan tomas telefónicas y caja de distribución en pasillo, se realiza tendido de fibra óptica desde el punto requerido por el cliente saliendo a la caja de distribución en pasillo y posteriormente bajando por cinco cajas más llegando al primer piso, saliendo a la fachada, pasando por cuatro postes hasta llegar a la nap asignada. Se gastan 130 MTS F.O f8// 7 Herrajes de retención. No se generan daños ni pérdidas durante la instalacion. Tecnico fredy corredor</t>
  </si>
  <si>
    <t>130 f8</t>
  </si>
  <si>
    <t>*Aplazamiento*
MDM-FIBRA-019966250
Cliente india que solo puede atender hoy en pm,, se regresara en esa franja</t>
  </si>
  <si>
    <t>MDM-FIBRA-019945681
estado caso
NO CONTACTADO
observaciones
CD HORA:2026-08-04 15:09:58 TK:174246 ORDEN:MDM-FIBRA-019945681 NOTAS U OBSERVACIONES CLARAS: Cliente HECTOR ALEXANDER GUZMAN MENDOZA numero de contacto 3114924667 no contactado BACK:DANNA CORREA NOTAS TECNICO:cuadrilla en predio, se marca a contactos sin respuesta, seguridad indica que no responde</t>
  </si>
  <si>
    <t>CC-24325217</t>
  </si>
  <si>
    <t>MONICA LOPEZ FRANCO</t>
  </si>
  <si>
    <t>CL 105 15 21 AP 205</t>
  </si>
  <si>
    <t>Orden Solucionada
MDM-FIBRA-020023874
Se instalan 33 MTRS de drop de baja fricción desde la caja de paso por ducto de telefonía enviamos el drop a una caja de paso en sótano,  luego por ducto de teléfono hasta caja de paso para llegar a la toma de la habitación principal , por el otro  ducto enviamos hasta la otra toma en habitación, salimos de la toma pasando el muro para salir al hall donde usuaria solicita el servicio. No se generan daños ni pérdidas durante la instalacion. Tecnico edwin diaz</t>
  </si>
  <si>
    <t>CC-1010230956</t>
  </si>
  <si>
    <t>JOSE DAVID RODRIGUEZ RAMIREZ</t>
  </si>
  <si>
    <t>TV 52C 2A 76</t>
  </si>
  <si>
    <t>*Orden Solucionada*
MDM-FIBRA-020014003
Se llega a predio, se habla con el usuario, se realiza validación y se busca la ruta desde la nap asignada hasta el predio. se extiende fibra desde la nap hasta el  punto requerido por el cliente. Se gastan 30 mts de indoor// Herraje 1. No se generan daños ni pérdidas durante la instalacion. Tecnico jesus silva</t>
  </si>
  <si>
    <t>*Orden Solucionada*
MDM-FIBRA-019966250
Se llega a predio, se habla con el usuario, se realiza validación y se busca la ruta desde la nap asignada hasta el predio. Se tiende fibra desde la nap hasta el  punto requerido.  técnico debe traer pdp para instalación. ya que hay cable riser en caja del techo.se gastan 40 mts de drop de baja fricción. No se generan daños ni pérdidas durante la instalacion. Tecnico Jesus silva</t>
  </si>
  <si>
    <t>CC-79321717</t>
  </si>
  <si>
    <t>PEDRO NEL CORREDOR BENITEZ</t>
  </si>
  <si>
    <t>CL 53 36A 76 AP 302</t>
  </si>
  <si>
    <t>realiza validación, se escala orden por 1502 INFORMATIVO, orden no es posible realizar ya que se debe pasar fibra por el tejado del edificio, pero por parte de SST no se autoriza trabajos en esos tipos de tejado ya que genera riesgo para el técnico.</t>
  </si>
  <si>
    <t>No viable//realiza validación, se escala orden por 1502 INFORMATIVO, orden no es posible realizar ya que se debe pasar fibra por el tejado del edificio, pero por parte de SST no se autoriza trabajos en esos tipos de tejado ya que genera riesgo para el técnico.</t>
  </si>
  <si>
    <t>CC-79755530</t>
  </si>
  <si>
    <t>ALBERTO ALCARCEL ARIAS</t>
  </si>
  <si>
    <t>KR 1B 41 42 SUR LC</t>
  </si>
  <si>
    <t>nap a 4 cuadras de distancia, excede la distancia permitida, 270 MTS aproximadamente</t>
  </si>
  <si>
    <t>No viable//nap a 4 cuadras de distancia, excede la distancia permitida, 270 MTS aproximadamente</t>
  </si>
  <si>
    <t>CC-13379302</t>
  </si>
  <si>
    <t>PABLO JOSE DIAZ MORA</t>
  </si>
  <si>
    <t>CL 57B 37 31 AP 202</t>
  </si>
  <si>
    <t>MDM-FIBRA-020004733</t>
  </si>
  <si>
    <t>MDM-FIBRA-020029955</t>
  </si>
  <si>
    <t>MDM-FIBRA-020003602</t>
  </si>
  <si>
    <t>MDM-FIBRA-020010585</t>
  </si>
  <si>
    <t>MDM-FIBRA-020003664</t>
  </si>
  <si>
    <t>MDM-FIBRA-020003774</t>
  </si>
  <si>
    <t>MDM-FIBRA-020016351</t>
  </si>
  <si>
    <t>MDM-FIBRA-020010252</t>
  </si>
  <si>
    <t>MDM-FIBRA-020023978</t>
  </si>
  <si>
    <t>MDM-FIBRA-020024486</t>
  </si>
  <si>
    <t>MDM-FIBRA-020005945</t>
  </si>
  <si>
    <t>MDM-FIBRA-020027318</t>
  </si>
  <si>
    <t>MDM-FIBRA-019970270</t>
  </si>
  <si>
    <t>MDM-FIBRA-020011793</t>
  </si>
  <si>
    <t>Orden Solucionada
Hilado
MDM-FIBRA-019927774
Se ingresa al cliente y se validan tomas telefónicas y caja de distribución en fachada, se realiza sondeo de ductos con dificultad para pasar la sonda por saturación de cables se logra pasar la sonda. Se realiza hilado desde el punto requerido por el cliente saliendo a la caja de distribución en fachada y posteriormente llegando a la caja de distribución en anden donde se encuentra la nap asignada. Técnico instalador debe traer F.O pre-conectarizada de 50 mts. No se generan daños ni pérdidas durante la instalacion. Tecnico Fredy hoyos</t>
  </si>
  <si>
    <t>CC-79460065</t>
  </si>
  <si>
    <t>NELSON PASTRANA OCHOA</t>
  </si>
  <si>
    <t>CL 79B 111A 71 IN 1 AP 201</t>
  </si>
  <si>
    <t xml:space="preserve"> obstrucción entre tubería de paso a apartamento sonda avanza aproximadamente 5 m y tranca</t>
  </si>
  <si>
    <t>*Orden Cancelada*
MDM-FIBRA-020004733
estado caso
CLIENTE DESISTE
observaciones
CD HORA:8:18 TK:174307 ORDEN:MDM-FIBRA-020004733 NOTAS CD : 3143396985 -3138905497 NELSON PASTRANA OCHOA cliente indica que canceló servicio BACK:YESSICA DIAZ NOTAS TECNICO: cuadrilla en predio, cliente indica que decidió cancelar el servicio</t>
  </si>
  <si>
    <t>CC-41776131</t>
  </si>
  <si>
    <t>MARTHA LUCIA BOHORQUEZ ESCOBAR</t>
  </si>
  <si>
    <t>KR 87D 48 03 SUR CA 200</t>
  </si>
  <si>
    <t xml:space="preserve"> obstrucción entre caja de paso a predio sonda avanza aproximadamente 7 m y tranca</t>
  </si>
  <si>
    <t>Orden No viable
MDM-FIBRA-020029955
Se realiza validación desde caja telefónica, cliente no cuenta con caja telefonica, en validacion desde la fachada donde la caja de paso se encuentra en la caja del gas natural, sonda ingresa aproximadamente 7mts y no avanza más, en el interior del ducto se evidencia una fibra, se trata de jalar pero no cede, en la caja de paso un cable plano de cobre pero no cede y se devuelve así mismo, se aplica jabón y agua caliente pero no se obtiene ningún resultado. No se generan daños ni pérdidas durante la validacion. autoriza supervisor Yeison martinez.</t>
  </si>
  <si>
    <t>tendido de fibra se valida ruta va de cajas de paso de casa en casa para llegar a la nap asignada pero sonda no pasa ingresa 2 metros y se tranca es único ingreso</t>
  </si>
  <si>
    <t>*Orden Solucionada*
MDM-FIBRA-019937093
Se llega a predio, se habla con el usuario el cual autoriza realizar validación, se evidencia ducteria obstruida, se aplica jabón líquido y agua caliente dentro del predio y en cajas de paso peatonal. Se tiende fibra desde la NAP, pasando por 4 cajas de paso peatonal (Canalizado) y 3 cajas murales. Ingresa a predio por toma principal de la sala y se deja en punto requerido por el cliente. Se gastan 80 mts de Baja Fricción. No se generan daños ni pérdidas durante la instalacion. Tecnico cesar hernandez</t>
  </si>
  <si>
    <t>CC-1012398256</t>
  </si>
  <si>
    <t>SINDY JOHANA DE LA ROSA GUZMAN</t>
  </si>
  <si>
    <t>CL 81 SUR 81 90 TO 4 AP 202</t>
  </si>
  <si>
    <t>Orden Solucionada
MDM-FIBRA-020003602
se realiza validacion y sondeo desde caja telefonica, se evidencia caja tv con servicios de claro activos, se envía sonda por caja tv donde ingresa 5mts y no avanza más se aplica jabón líquido para el proceso. se envía por el ducto de la telefonia hasta lograr llegar a caja de paso en pasillo donde se encontró la furukawa. En predio se deja donde es requerido. Se gastan 25Mts Baja Friccion. No se generan daños ni pérdidas durante la instalacion. Tecnico luis hoyos</t>
  </si>
  <si>
    <t>Orden Solucionada
Hilado
MDM-FIBRA-020016834
Se ingresa al cliente, se validan tomas telefónicas en el apartamento. En validación el cliente nos pide retirar cables que no se encuentran en servicio y se liberan ductos; se deja hilado para pasar cableado y dar servicio a los equipos por instalar. No se generan daños ni pérdidas durante la instalacion. Tecnico Fredy corredor</t>
  </si>
  <si>
    <t>CC-1027524151</t>
  </si>
  <si>
    <t>BRIYIT TATIANA SILVA SILVA</t>
  </si>
  <si>
    <t>CL 71B 100A 27 IN 2 AP 505</t>
  </si>
  <si>
    <t>realiza validación, encuentra obstrucción cajas de paso, toca cablear de pto hasta pdp</t>
  </si>
  <si>
    <t>Orden No viable
MDM-FIBRA-020010585
Realizamos validación para tender la fibra,  se evidenció que la toma principal hacia la caja esta ubicada en piso 4 enviamos la sonda e ingresan 10 MTRS y queda trancada al devolverla sale mojada y de abajo hacia arriba, no sale a la toma y al tratar de devolverla se queda atorada en el tubo, se evidencia tubo desempatado. Citofono esta compartido con vecino al enviar la sonda está alcanza a ingresar pero se van 10 MTRS y no sale a la caja de paso. Administración no autoriza cableado por fuera y por TV no hay comunicación a las cajas de ETB. No se generan daños ni pérdidas durante la validacion. autoriza supervisor Yeison martinez.</t>
  </si>
  <si>
    <t>CC-52740506</t>
  </si>
  <si>
    <t>ERIKA JOHANNA LEIVA JIMENEZ</t>
  </si>
  <si>
    <t>KR 3 56A 87 AP 203</t>
  </si>
  <si>
    <t>tendido de fibra se valida ruta la ducteria esta obstruida sonda ingresa de 3 a 4 mts</t>
  </si>
  <si>
    <t>Orden Solucionada
MDM-FIBRA-020003664
Se llega a predio, se habla con el usuario, se realiza validación y se busca la ruta desde la nap asignada hasta el predio. Se valida CT en el predio. Desde la nap N1 sale un cable flash de 12 hilos que alimenta esa CT. Se gastan 40 mts de drop de baja. No se generan daños ni pérdidas durante la instalacion. Tecnico jesus silva</t>
  </si>
  <si>
    <t>CC-1013607695</t>
  </si>
  <si>
    <t>YURI ALEJANDRA MORALES VELASQUEZ</t>
  </si>
  <si>
    <t>KR 22 58 26 SUR CA 86</t>
  </si>
  <si>
    <t>se llega al predio se realiza la instalcion pero la ducteria esta obstruida en la caja de paso hacia  el predio del cliente</t>
  </si>
  <si>
    <t>*Aplazamiento*
MDM-FIBRA-020003774
estado caso
AGENDADO OK CUADRILLA
observaciones
CD HORA:16:24 TK:174443 ORDEN:MDM-FIBRA-020003774 NOTAS CD : 3014524182 YURI ALEJANDRA MORALES VELASQUEZ cliente recibe mañana am BACK:YESSICA DIAZ NOTAS TECNICO: No se finaliza validación, cliente indica que debe salir, solicita reprogramar para el dia 06-08</t>
  </si>
  <si>
    <t>CC-1007530052</t>
  </si>
  <si>
    <t>MARIA PIÑEROS SANZ DE SANTAMARIA</t>
  </si>
  <si>
    <t>KR 7C BIS 141A 27 IN 72</t>
  </si>
  <si>
    <t>tendido de fibra se valida ruta la ducteria esta obstruida  sonda no pasa mas de 3 metros de lado y lado</t>
  </si>
  <si>
    <t>Orden Solucionada
MDM-FIBRA-020016351
Se llega a predio, se habla con el usuario el cual autoriza realizar validación. Se evidencia ducteria obstruida, se aplica jabón líquido y agua caliente dentro del predio y en cajas de paso mural. se tiende fibra desde la nap, pasando por 3 cajas de paso peatonal (canalizado) y 4 cajas murales. se ingresa a predio por toma principal de la sala en piso 1, se envía por ducteria interna a salir a pasillo en piso 2 y se deja en punto requerido por el cliente. se gastan 100 mts de baja fricción. No se generan daños ni pérdidas durante la instalacion. Tecnico Cesar hernandez</t>
  </si>
  <si>
    <t>CC-51654380</t>
  </si>
  <si>
    <t>AURA CECILIA RUIZ BENITEZ</t>
  </si>
  <si>
    <t>CL 7 92A 56 CA 288</t>
  </si>
  <si>
    <t>MDM-FIBRA-020010252
observaciones
CD HORA:11:17 TK:174361 ORDEN:MDM-FIBRA-020010252 NOTAS CD : 3115196521 no contestan BACK:YESSICA DIAZ NOTAS TECNICO: cuadrilla en predio, cliente no responde a contacto, seguridad no da información</t>
  </si>
  <si>
    <t>CC-91527174</t>
  </si>
  <si>
    <t>ELKIN JEFFERSON PORRAS GALLEGO</t>
  </si>
  <si>
    <t>CL 88 16 18 AP 208</t>
  </si>
  <si>
    <t xml:space="preserve"> Se llega a predio se validan las cajas de paso en predio se evidencia que las tomas telefónicas están obstruidas por cables telefónicos el cual de ve que al momento de la remodelación se obstruyeron</t>
  </si>
  <si>
    <t>*Orden Solucionada*
MDM-FIBRA-020023978
Se llega a predio, se habla con el usuario, se realiza validación y se busca la ruta desde la nap asignada hasta el predio. pdp se encuentra  frente de la escalera. En predio se deja en sitio indicado. se gastan 30 mts de drop de baja. No se generan daños ni pérdidas durante la instalacion. Tecnico Jesus silva</t>
  </si>
  <si>
    <t xml:space="preserve">Dejaron una pita pro eso se totio ingrese la sonda pro se atasca en un parte de trayecto </t>
  </si>
  <si>
    <t>Orden Solucionada
Hilado
MDM-FIBRA-020024486
Se llega al cliente donde se válida tramo de hilado cortado se realiza nuevamente hilado desde el punto requerido por el cliente saliendo a la caja de distribución en fachada y posteriormente pasando por 4 cajas más, subiendo nuevamente la caja en fachada y posteriormente pasando por dos cajas más llegando a la cámara de codensa donde se encuentra la nap asignada. Técnico instalador debe traer F.O preconectarizada de 150 MTS. No se generan daños ni pérdidas durante la instalacion. Tecnico fredy corredor</t>
  </si>
  <si>
    <t>CC-52513945</t>
  </si>
  <si>
    <t>DEYANIRA SINDY MOYA CHAVES</t>
  </si>
  <si>
    <t>CL 56A 58 54 BQ 75 AP 201</t>
  </si>
  <si>
    <t>se realiza validacion encontrando obstruccion en predio</t>
  </si>
  <si>
    <t>*Orden Solucionada*
MDM-FIBRA-020005945
Se instalan 37 mtrs de drop de baja fricción desde la nap asignada en cámara, enviamos el drop por ducto principal hasta una canaleta existente por fachada, luego ingresamos al predio por perforacion existente llevando hasta la toma del estudio donde usuario solicita el servicio. No se generan daños ni pérdidas durante la instalacion. Tecnico edwin diaz</t>
  </si>
  <si>
    <t>CC-31422608</t>
  </si>
  <si>
    <t>MARIA TERESA GALEANO MONSALVE</t>
  </si>
  <si>
    <t>KR 88 6 32 IN 33 AP 502</t>
  </si>
  <si>
    <t>Realiza validación nap asignada no tiene comunicación con la la torre 33 Esta alimenta la torre 30</t>
  </si>
  <si>
    <t>No viable//Realiza validación nap asignada no tiene comunicación con la la torre 33 Esta alimenta la torre 30</t>
  </si>
  <si>
    <t>CC-1029144286</t>
  </si>
  <si>
    <t>VALERY LIZETH BAQUERO ZAMBRANO</t>
  </si>
  <si>
    <t>KR 10A ESTE 24 16 SUR</t>
  </si>
  <si>
    <t>No viable//no se puede ejecutar ya que en dónde se encuentra la nap y para el predio donde es la instalación la via se encuentra en obras donde hay maquinaria y no hay como colocar escalera para poder trabajar</t>
  </si>
  <si>
    <t>CC-1023959677</t>
  </si>
  <si>
    <t>YECYCA YICELA MENDEZ MARTINEZ</t>
  </si>
  <si>
    <t>CL 41 BIS SUR 6B 40 ESTE</t>
  </si>
  <si>
    <t>en la viabilidad que se evidenció y desde la nap asignada, se debe realizar un tendido de manera área dándole la vuelta a la manzana pero excede la distancia máxima permitida por la interventoria de ETB, para este caso tiene una longitud aproximadamente de 300 mts, hay más nap's la N1SI13_C25 y la N1SI13_C24 pero se encuentran al 100% de su ocupación</t>
  </si>
  <si>
    <t>No viable//en la viabilidad que se evidenció y desde la nap asignada, se debe realizar un tendido de manera área dándole la vuelta a la manzana pero excede la distancia máxima permitida por la interventoria de ETB, para este caso tiene una longitud aproximadamente de 300 mts, hay más nap's la N1SI13_C25 y la N1SI13_C24 pero se encuentran al 100% de su ocupación</t>
  </si>
  <si>
    <t>MDM-FIBRA-020003228</t>
  </si>
  <si>
    <t>MDM-FIBRA-020005918</t>
  </si>
  <si>
    <t>MDM-FIBRA-020030456</t>
  </si>
  <si>
    <t>MDM-FIBRA-020023150</t>
  </si>
  <si>
    <t>MDM-FIBRA-020018454</t>
  </si>
  <si>
    <t>MDM-FIBRA-020010154</t>
  </si>
  <si>
    <t>MDM-FIBRA-019986900</t>
  </si>
  <si>
    <t>MDM-FIBRA-020018582</t>
  </si>
  <si>
    <t>MDM-FIBRA-020031166</t>
  </si>
  <si>
    <t>MDM-FIBRA-020029188</t>
  </si>
  <si>
    <t>MDM-FIBRA-020038073</t>
  </si>
  <si>
    <t>MDM-FIBRA-020010330</t>
  </si>
  <si>
    <t>MDM-FIBRA-020026099</t>
  </si>
  <si>
    <t>MDM-FIBRA-020017782</t>
  </si>
  <si>
    <t>MDM-FIBRA-019784365</t>
  </si>
  <si>
    <t>MDM-FIBRA-019982574</t>
  </si>
  <si>
    <t>MDM-FIBRA-020029088</t>
  </si>
  <si>
    <t>MDM-FIBRA-020049215</t>
  </si>
  <si>
    <t>MDM-FIBRA-019958850</t>
  </si>
  <si>
    <t>MDM-FIBRA-020004251</t>
  </si>
  <si>
    <t>MDM-FIBRA-020032278</t>
  </si>
  <si>
    <t>Orden No viable_x000D_
MDM-FIBRA-019990209_x000D_
Se realiza validacion y sondeo desde caja telefonica, se evidencia cable de cobre, no cede se intenta jalar varias veces. sonda  se escucha golpear en la caja donde se encuentra el servicio del gas, al parecer había una caja de paso y fue tapada, ya que se escucha golpear en la pared, se intenta subir a fachada pero no se evidencia caja de paso ya que estan tapados. No se generan daños ni pérdidas durante la validacion. autoriza supervisor Yeison martinez.</t>
  </si>
  <si>
    <t>CC-1019028544</t>
  </si>
  <si>
    <t>JUAN SEBASTIAN RINCON HERNANDEZ</t>
  </si>
  <si>
    <t>CL 83A 114 99 IN 65</t>
  </si>
  <si>
    <t xml:space="preserve"> obstruccion entre cajas de paso de predio a caja de paso, sonda avanza aproximadamente 7 metros y tranca, tubería llena de barro </t>
  </si>
  <si>
    <t>MDM-FIBRA-020003228_x000D_
estado caso_x000D_
NO CONTACTADO_x000D_
observaciones_x000D_
CD HORA:8:45 TK:174477 ORDEN:MDM-FIBRA-020003228 NOTAS CD : 3132108300 -3146637300 no contestan BACK:YESSICA DIAZ NOTAS TECNICO: cuadrilla en predio, cliente indica que decidió cancelar el servicio</t>
  </si>
  <si>
    <t>CC-1151963908</t>
  </si>
  <si>
    <t>CAROLINA OROZCO GARCIA</t>
  </si>
  <si>
    <t>CL 63B 30 24</t>
  </si>
  <si>
    <t>Se evidencia ducteria obstruida la sonda avanza 12 / 15 metros y se tranca</t>
  </si>
  <si>
    <t>Orden Cancelada_x000D_
MDM-FIBRA-020005918_x000D_
estado caso_x000D_
CLIENTE DESISTE_x000D_
observaciones_x000D_
CD HORA:9:31 TK:174475 ORDEN:MDM-FIBRA-020005918 NOTAS CD : 3113807101 CAROLINA OROZCO GARCIA cliente indica que canceló servicio el servicio BACK:YESSICA DIAZ NOTAS TECNICO: cuadrilla en predio, cliente indica que decidió cancelar el servicio</t>
  </si>
  <si>
    <t>CC-1053788596</t>
  </si>
  <si>
    <t>VANESSA MUÑOZ FRANCO</t>
  </si>
  <si>
    <t>CL 100 67 25 IN 4 AP 402</t>
  </si>
  <si>
    <t>Se hace verificación con  sonda por tuberia de edificio ,no pasa la sonda tubería está obstruida</t>
  </si>
  <si>
    <t>Orden Solucionada_x000D_
MDM-FIBRA-020030456_x000D_
Se instalan 31 MTRS de drop de baja fricción, desde la toma de la sala enviamos el drop perfilado por el guardescobas hasta el marco de la puerta, se continua por perforacion existente saliendo ala puerta sigue por una canaleta existente dando la vuelta hasta donde se encuentra el reiser de ETB donde dejamos la reserva .se válida toma de teléfono y esta tiene comunicación entre tomas hasta el sótano, pero se evidenció ruta por donde ingresan TV y había comunicación. No se generan daños ni pérdidas durante la instalacion. Tecnico edwin diaz</t>
  </si>
  <si>
    <t>CC-1007207873</t>
  </si>
  <si>
    <t>MANUEL FELIPE MURCIA BERNAL</t>
  </si>
  <si>
    <t>CL 100 22 30 AP 1022</t>
  </si>
  <si>
    <t>Se llega al predio se envía sonda de la caja paso al predio _x000D_
Ingresa aproximadamente un metro no pasa _x000D_
Más se envía sonda desde la toma apto hacia la caja paso externa ingresa 2 mts no pasa más</t>
  </si>
  <si>
    <t>Orden Solucionada_x000D_
MDM-FIBRA-020023150_x000D_
Se instalan 29 mtrs de drop de baja fricción desde la caja de paso,  por ducto de telefonía enviamos el drop hasta la toma principal en la cocina,  luego pasamos a la toma donde usuario solicita el servicio .el técnico válido el ducto equivocado. No se generan daños ni pérdidas durante la instalacion. Tecnico edwin diaz</t>
  </si>
  <si>
    <t>CC-41315239</t>
  </si>
  <si>
    <t>CARMEN CECILIA HIDALGO SUAREZ</t>
  </si>
  <si>
    <t>KR 9 84C 70 AP 802</t>
  </si>
  <si>
    <t xml:space="preserve"> se valida ruta de acceso a predio presenta obstrucción la sonda solo pasa unos dos metros se requiere cuadrilla de quiebre</t>
  </si>
  <si>
    <t>Orden Solucionada_x000D_
MDM-FIBRA-020018454_x000D_
Se llega a predio, se habla con el usuario, se realiza validación y se busca la ruta desde la nap asignada hasta el predio. Se deja fibra en punta en la pdp y de alli hasta donde se va a dejar el punto. Se gastan 50 mts de drop de baja.  No se generan daños ni pérdidas durante la instalacion. Tecnico jesus silva</t>
  </si>
  <si>
    <t>CC-1019032626</t>
  </si>
  <si>
    <t>CAROLINA ZABALA GONZALEZ</t>
  </si>
  <si>
    <t>CL 34A SUR 99A 45 CA 95</t>
  </si>
  <si>
    <t>Técnico valida en predio, sonda no alcanza por metraje, se requiere quiebre para hilado</t>
  </si>
  <si>
    <t>Orden solucionada_x000D_
MDM-FIBRA-020010154_x000D_
Se  realiza validacion y sondeo desde caja telefonica, hacia caja fachada, por ducto  se va directo hasta llegar a la primera caja de paso, se cruza 3 cajas más antes de llegar a la nap asignada. En predio se deja donde es requerido. Se gastan 140mts Baja Friccion. No se generan daños ni perdidas durante la instalación. Tecnico  luis hoyos</t>
  </si>
  <si>
    <t>NIT-900461036</t>
  </si>
  <si>
    <t>ELITE AV SERVICES S A S</t>
  </si>
  <si>
    <t>KR 19 118 95 OF 203</t>
  </si>
  <si>
    <t>Orden Solucionada_x000D_
MDM-FIBRA-019986900_x000D_
Se instalan 25 mtrs de drop de baja fricción desde la caja de paso por ducto de citofonia enviamos el drop hasta la toma principal, luego bajamos por fuera de la toma hacia la toma de teléfono, de esta pasamos a otra toma de paso y desde alli al estudio donde usuaria solicita el servicio. No se generan daños ni pérdidas durante la instalacion. Tecnico edwin diaz</t>
  </si>
  <si>
    <t>CC-52865139</t>
  </si>
  <si>
    <t>DANIELA RODRIGUEZ URIBE</t>
  </si>
  <si>
    <t>CL 72A BIS 1B 10 ESTE AP 108</t>
  </si>
  <si>
    <t>Aplazamiento_x000D_
MDM-FIBRA-020018582_x000D_
estado caso_x000D_
AGENDADO OK CUADRILLA_x000D_
observaciones_x000D_
CD ORDEN:MDM-FIBRA-020018582 HORA:2026-08-06 NOTAS TECNICO:cuadrilla en predio, cliente indica que no puede atender, solicita reprogramar para el dia martes 11-08 en pm NOTAS U OBSERVACIONES CLARAS: DANIELA RODRIGUEZ URIBE 3213650927 contactado solicita reprogramar para el dia martes 11-08 PM BACK MILDRED ZUÑIGA TK:174521</t>
  </si>
  <si>
    <t>CC-1018411972</t>
  </si>
  <si>
    <t>DAVID FELIPE RODRIGUEZ VILLA</t>
  </si>
  <si>
    <t>TV 60 115 58 TO B OF 506</t>
  </si>
  <si>
    <t>Aplazamiento_x000D_
MDM-FIBRA-020031166_x000D_
estado caso_x000D_
AGENDADO OK CUADRILLA_x000D_
observaciones_x000D_
CD HORA:8:39 TK:174476 ORDEN:MDM-FIBRA-020031166 NOTAS CD : 3168225596 DAVID FELIPE RODRIGUEZ VILLA cliente recibe lunes am BACK:YESSICA DIAZ NOTAS TECNICO: cuadrilla en predio, se marca a contacto, cliente indica que no puede recibir, solicita reprogramar para el dia lunes 10-08</t>
  </si>
  <si>
    <t>CC-43073112</t>
  </si>
  <si>
    <t>GLADIS HELENA ZAPATA BETANCUR</t>
  </si>
  <si>
    <t>KR 19A 96 17 AP 904</t>
  </si>
  <si>
    <t>*Orden Solucionada*_x000D_
MDM-FIBRA-020029188_x000D_
Se llega a predio, se habla con el usuario, se realiza validación y se busca la ruta desde la nap asignada hasta el predio. Se deja fibra en punta en la pdp y de alli hasta donde se va a dejar el punto. NOTA:  cliente solicita que le marquen al numero 3175104583. Se gastan 40 mts de drop de baja. No se generan daños ni pérdidas durante la instalacion. Tecnico Jesus silva</t>
  </si>
  <si>
    <t>CC-1022339667</t>
  </si>
  <si>
    <t>CESAR DAVID BERNAL LOZANO</t>
  </si>
  <si>
    <t>KR 16 79 50 AP 401</t>
  </si>
  <si>
    <t>se valida ruta de acceso  presenta obstrucción la sonda solo pasa unos dos metros se requiere cuadrilla</t>
  </si>
  <si>
    <t>Orden Solucionada_x000D_
MDM-FIBRA-020038073_x000D_
Se ingresa al cliente, se validan tomas telefónicas y caja de distribución en pasillo; se realiza sondeo de ductos con dificultad para pasar la sonda se logra pasar. Se realiza tendido de fibra óptica desde el punto requerido por el cliente saliendo a la caja de distribución en pasillo donde se encuentra la CP asignada. Se gastan 25 mts de F.O de baja fricción. No se generan daños ni pérdidas durante la instalacion. Tecnico fredy corredor</t>
  </si>
  <si>
    <t>CC-1054096061</t>
  </si>
  <si>
    <t>NATALIA GARCIA ALBA</t>
  </si>
  <si>
    <t>KR 84 77A 40 AP 903</t>
  </si>
  <si>
    <t xml:space="preserve"> realiza validación, encuentra obstrucción entre cajas de paso, toca cablear de pto hasta pdp</t>
  </si>
  <si>
    <t>Orden Solucionada_x000D_
MDM-FIBRA-020010330_x000D_
Se llega a predio, se habla con el usuario el cual autoriza realizar validación. se evidencia ducteria telefonica obstruida, se aplica jabón líquido y agua caliente dentro por último se realiza pesca. se tiende fibra desde la pdp que queda en caja de paso de pasillo, ingresa a predio por toma de tv en alcoba del fondo y se deja en punto requerido por el cliente. se gastan 30 mts de baja fricción. No se generan daños ni pérdidas durante la instalacion. Tecnico cesar hernandez</t>
  </si>
  <si>
    <t>CC-79558132</t>
  </si>
  <si>
    <t>GERMAN ALBERTO MORA QUINTERO</t>
  </si>
  <si>
    <t>CL 7 90 76 CA 101</t>
  </si>
  <si>
    <t xml:space="preserve"> la sonda no pasa desde la caja de paso hasta la caja de distribución </t>
  </si>
  <si>
    <t>Orden Solucionada_x000D_
Hilado_x000D_
MDM-FIBRA-020026099_x000D_
Se llega a predio, se habla con el usuario el cual autoriza realizar validación, se evidencia ducteria telefonica obstruida. se aplica jabón líquido, agua caliente dentro del predio y en caja de paso mural, por último se realiza pesca. se tiende hilado desde la nap PRECONECTORIZADA, pasando por 2 cajas de paso (Canalizado) y 1 mural. Se ingresa a predio por toma principal de la sala en piso 1 se deja en punto requerido. No se generan daños ni pérdidas durante la instalacion. Tecnico cesar hernandez</t>
  </si>
  <si>
    <t>Orden Solucionada_x000D_
MDM-FIBRA-020003774_x000D_
Se realiza validacion y sondeo desde caja telefonica, sale a caja fachada y despues pasa a caja de paso en piso donde se encuentra la nap asignada.  En predio se deja en sitio indicado. se gastan 25 Mts Baja Friccion. No se generan daños ni pérdidas durante la instalacion. Tecnico Luis hoyos</t>
  </si>
  <si>
    <t>NIT-900257192</t>
  </si>
  <si>
    <t>SOLUCIONES CERAMICAS</t>
  </si>
  <si>
    <t>KR 17 36 17</t>
  </si>
  <si>
    <t xml:space="preserve"> Realiza validación  imposibilidad en una de las AP ya que no hay ductería para llevar el cable UTP, ya que no está permitido que el personal se suba a tejados SST </t>
  </si>
  <si>
    <t xml:space="preserve">No viable// Realiza validación  imposibilidad en una de las AP ya que no hay ductería para llevar el cable UTP, ya que no está permitido que el personal se suba a tejados SST </t>
  </si>
  <si>
    <t>CC-1023893145</t>
  </si>
  <si>
    <t>MERCY JOHANA DAZA RUIZ</t>
  </si>
  <si>
    <t>KR 12C ESTE 28H 34 SUR</t>
  </si>
  <si>
    <t>Orden no se puede ejecutar ya que la distancia dela Nap al predio es aproximadamente 320 mtrs estamos autorizados hasta 250 no hay más nap disponibles cerca para realizar algún cambio</t>
  </si>
  <si>
    <t>No viable//Orden no se puede ejecutar ya que la distancia dela Nap al predio es aproximadamente 320 mtrs estamos autorizados hasta 250 no hay más nap disponibles cerca para realizar algún cambio</t>
  </si>
  <si>
    <t>CC-1070596603</t>
  </si>
  <si>
    <t>MARIA YASMIN BARRIOS SUAREZ</t>
  </si>
  <si>
    <t>calle 63 sur 98d-48</t>
  </si>
  <si>
    <t>no es posible realizar la instalación ya que el tubo de ingreso esta tapado con una piedra que no es posible sacar y cliente no acepta hacer adecuaciones para destaparlo, del otro costado no se puede enviar sonda ya que hay varios tubos y no estan marcados, no se sabe cual sea dle predio</t>
  </si>
  <si>
    <t>No viable//no es posible realizar la instalación ya que el tubo de ingreso esta tapado con una piedra que no es posible sacar y cliente no acepta hacer adecuaciones para destaparlo, del otro costado no se puede enviar sonda ya que hay varios tubos y no estan marcados, no se sabe cual sea dle predio</t>
  </si>
  <si>
    <t>CC-1018445335</t>
  </si>
  <si>
    <t>MAYDEE LORENA MUÑOZ SUAREZ</t>
  </si>
  <si>
    <t>KR 12D ESTE 29 41 SUR</t>
  </si>
  <si>
    <t>CC-17127288</t>
  </si>
  <si>
    <t>JAIRO BERNARDO PARRA FORERO</t>
  </si>
  <si>
    <t>KR 7 65 74 AP 301</t>
  </si>
  <si>
    <t xml:space="preserve">tendido de fibra se valida ruta la ducteria esta obstruida  no pasa sonda se requiere cuadrilla de quiebre </t>
  </si>
  <si>
    <t xml:space="preserve">*Aplazamiento*_x000D_
MDM-FIBRA-020049215_x000D_
estado caso_x000D_
AGENDADO OK CUADRILLA_x000D_
observaciones_x000D_
CD ORDEN:MDM-FIBRA-020049215 HORA:2026-08-06 13:40:47 NOTAS TECNICO:cuadrilla en predio, cliente indica que no puede atender solicita reprogramar para el dia sabado 08-08 am NOTAS U OBSERVACIONES CLARAS: JAIRO BERNARDO PARRA FORERO 3002681013 contactado confirma para el dia sabado 08-08 AM BACK MILDRED ZUÑIGA TK:174547_x000D_
</t>
  </si>
  <si>
    <t>CC-45476779</t>
  </si>
  <si>
    <t>CARMEN CECILIA ARROYO PALACIO</t>
  </si>
  <si>
    <t>CL 3 3A 14</t>
  </si>
  <si>
    <t>el nap asignado no está en físico en la ubicación que envían, sin servicios activos, posibles reíngresos sin posteria de apoyo</t>
  </si>
  <si>
    <t>No viable//el nap asignado no está en físico en la ubicación que envían, sin servicios activos, posibles reíngresos sin posteria de apoyo</t>
  </si>
  <si>
    <t>CC-51958287</t>
  </si>
  <si>
    <t>ROSA ELENA GALVIS CHAPARRO</t>
  </si>
  <si>
    <t>CL 33 BIS 4A 33</t>
  </si>
  <si>
    <t>se realiza validacion de canalizacion encontrando obstruccion</t>
  </si>
  <si>
    <t xml:space="preserve">*Orden Solucionada*_x000D_
MDM-FIBRA-020004251_x000D_
Se ingresa al cliente, se valida que no se encuentran tomas telefónicas y se valida ruta, se realiza tendido tendido de fibra óptica desde el punto requerido por el cliente saliendo y llegando al poste donde se encuentra la nap asignada. Se gastan 20 MTS de F.O f8. No se generan daños ni pérdidas durante la instalacion. Tecnico fredy corredor_x000D_
</t>
  </si>
  <si>
    <t>CC-51790860</t>
  </si>
  <si>
    <t>ZORAIDA GALINDO RODRIGUEZ</t>
  </si>
  <si>
    <t>CL 138 55 53 IN 30 LC 1</t>
  </si>
  <si>
    <t>pendiente hasta que usuario habilite ruta de fibra Para ingresar  fibra</t>
  </si>
  <si>
    <t>No viable//pendiente hasta que usuario habilite ruta de fibra Para ingresar  fibra</t>
  </si>
  <si>
    <t>MDM-FIBRA-020003861</t>
  </si>
  <si>
    <t>MDM-FIBRA-020025327</t>
  </si>
  <si>
    <t>MDM-FIBRA-020018196</t>
  </si>
  <si>
    <t>MDM-FIBRA-020024349</t>
  </si>
  <si>
    <t>MDM-FIBRA-020025524</t>
  </si>
  <si>
    <t>MDM-FIBRA-020004217</t>
  </si>
  <si>
    <t>MDM-FIBRA-020018118</t>
  </si>
  <si>
    <t>MDM-FIBRA-020038357</t>
  </si>
  <si>
    <t>MDM-FIBRA-020027983</t>
  </si>
  <si>
    <t>MDM-FIBRA-020017843</t>
  </si>
  <si>
    <t>MDM-FIBRA-020016526</t>
  </si>
  <si>
    <t>MDM-FIBRA-019997449
estado caso
NO CONTACTADO
observaciones
CD HORA:8:30 TK:174615 ORDEN:MDM-FIBRA-019997449 NOTAS CD :3001381929 no contestan BACK:YESSICA DIAZ NOTAS TECNICO: cuadrilla en predio, cliente indica que decidió cancelar el servicio, no da mas información</t>
  </si>
  <si>
    <t>MDM-FIBRA-020014659
estado caso
NO CONTACTADO
observaciones
CD HORA: 2026-08-08 13:41:09 TK:174692 ORDEN:MDM-FIBRA-020014659 NOTAS U OBSERVACIONES CLARAS:HEINER DANILO LOZANO LOZANO 3224777313 SIN RESPUESTA NUMERO DE CONTACTO SMS CARI AI: - NUMERO DEL TECNICO:cuadrilla en predio, se marca contacto sin respuesta, se golpea no sale nadie Quintero Gomez Carlos Andres BACK: NATALIA JULIO</t>
  </si>
  <si>
    <t>Orden Solucionada
HILADO
MDM-FIBRA-019667097
Se llega a predio, se habla con el usuario, se realiza validación y se busca la ruta desde la nap asignada hasta el predio. Se hilado ductería existente en punta en la pdp y de alli hasta donde se va a dejar el punto. No se generan daños ni pérdidas durante la instalacion. Tecnico jesus silva</t>
  </si>
  <si>
    <t>*Orden Solucionada*
MDM-FIBRA-019972569
Se llega a predio, se habla con el usuario, se realiza validación y se busca la ruta desde la nap asignada hasta el predio. se extiende fibra desde la nap hasta el  punto requerido por el cliente. Se gastan 50 mts de fibra drop de baja. No se generan daños ni pérdidas durante la instalacion. Tecnico jesus silva</t>
  </si>
  <si>
    <t>CC-1000163601</t>
  </si>
  <si>
    <t>DANIEL ESTEBAN SABOGAL ROZO</t>
  </si>
  <si>
    <t>KR 73 40 31 SUR BQ 9 IN 1 AP 202</t>
  </si>
  <si>
    <t>se encuentra obstruido le nap hacia la caja de de paso que es la que nos lleva hacia la torre</t>
  </si>
  <si>
    <t>Orden Solucionada
MDM-FIBRA-020003861
Se realiza validacion y sondeo, cliente no cuenta con toma telefonica, se evidencia canaleta hacia la parte de atrás del apartamento, se llega a caja de paso en zona verde, desde la caja de paso se cruza por 3 cajas hasta llegar a la nap asignada. En predio se deja reserva a petición del cliente. Se gastan 85 Mts Baja Friccion. No se generan daños ni pérdidas durante la instalacion. Tecnico luis hoyos</t>
  </si>
  <si>
    <t>CC-43220203</t>
  </si>
  <si>
    <t>ISABEL CRISTINA TOBON ARREDONDO</t>
  </si>
  <si>
    <t>KR 23 104 85 AP 602</t>
  </si>
  <si>
    <t>Realiza validación se evidencia dificultad en ducteria por complejidad hilado</t>
  </si>
  <si>
    <t xml:space="preserve">*Orden Solucionada*
*HILADO*
MDM-FIBRA-020025327
Se realiza hilado para punto periférico desde la ont enviamos por ducto de telefonía hasta una toma en habitación. Luego pasamos a la toma del estudio donde usuario solicita el ap. No se generan daños ni pérdidas durante la instalacion. Tecnico edwin diaz </t>
  </si>
  <si>
    <t>CC-80748465</t>
  </si>
  <si>
    <t>DIEGO ALEJANDRO HOLGUIN CUSGUEN</t>
  </si>
  <si>
    <t>CL 42 sur # 12f - 22</t>
  </si>
  <si>
    <t>obstrucción caja fachada ducto de TV único ingreso a toma principal apto, sonda tranca, cables no se mueven , claro</t>
  </si>
  <si>
    <t>Aplazamiento
MDM-FIBRA-020018196
estado caso
NO CONTACTADO
observaciones
CD HORA:8:51 TK:174618 ORDEN:MDM-FIBRA-020018196 NOTAS CD : 3053476825 no contestan BACK:YESSICA DIAZ NOTAS TECNICO: cuadrilla en predio, cliente indica que no puede atender, solicita reprogramar para el dia martes 11-08</t>
  </si>
  <si>
    <t>CC-98552844</t>
  </si>
  <si>
    <t>MARCO ANTONIO SALVATIERRA FIGUEROA</t>
  </si>
  <si>
    <t>CL 105 19A 74 AP 601</t>
  </si>
  <si>
    <t>Hay que bajar la fibra hasta el sótano Se procede a realizar la instalación Se envía la fibra óptica desde el piso 6 Se pudo llegar hasta el piso 2do 
Ya que en la caja de piso no hay guías y no pasa la sonda</t>
  </si>
  <si>
    <t>*Aplazamiento*
MDM-FIBRA-020024349
estado caso
NO CONTACTADO
observaciones
CD HORA: 2026-08-08 11:00:32 TK:174654 ORDEN:MDM-FIBRA-020024349 NOTAS U OBSERVACIONES CLARAS:MARCO ANTONIO SALVATIERRA FIGUEROA 3116498091 SIN RESPUESTA NUMERO DE CONTACTO SMS CARI AI: - NUMERO DEL TECNICO:Cuadrilla en predio, se marca a contacto, cliente indica que se quedo esperando la visita del tecnico de aprov el dia miercoles, solicita reprogramar para el dia lunes en am ROMAN SUTA CASTRO BACK: NATALIA JULIO</t>
  </si>
  <si>
    <t>CC-1043666748</t>
  </si>
  <si>
    <t>JULIETH CAROLINA JULIO CAJAR</t>
  </si>
  <si>
    <t>KR 8 170 52 TO 5 AP 101</t>
  </si>
  <si>
    <t>Se valida servicio ya que el apartamento del sus tiene la ducteria obstruida  ya que el apartamento el nuevo y seria el primer servicio en instalarse se validan por las ducterias del apartamento</t>
  </si>
  <si>
    <t>Aplazamiento
MDM-FIBRA-020025524
estado caso
NO CONTACTADO
observaciones
CD HORA:2026-08-08 TK:174664 ORDEN:MDM-FIBRA-020025524 NOTAS U OBSERVACIONES CLARAS: JULIETH CAROLINA JULIO CAJAR 3153716581 3226573185 no contactado BACK:DANNA CORREA NOTAS TECNICO:por horario de administración no se finalizan labores, cliente solicita reprogramar para el dia 10-08</t>
  </si>
  <si>
    <t>CC-1007017510</t>
  </si>
  <si>
    <t>MANUELA RODRIGUEZ PEÑA</t>
  </si>
  <si>
    <t>CL 77 1 51 ESTE IN 1 AP 402</t>
  </si>
  <si>
    <t>e valida ruta de acceso a predio presenta obstrucción</t>
  </si>
  <si>
    <t>MDM-FIBRA-020004217
estado caso
NO CONTACTADO
observaciones
CD HORA: 2026-08-08 13:12:53 TK:174684 ORDEN:MDM-FIBRA-020004217 NOTAS U OBSERVACIONES CLARAS:MANUELA RODRIGUEZ PEÑA 3176797245 3184780787 SIN RESPUESTA NUMEROS DE CONTACTO SMS CARI AI: - NUMERO DEL TECNICO:cuadrilla en sitio se marca a contactos sin respuesta, seguridad indica que no hay nadie POLOCHE TIQUE LUIS ALBERTO BACK: NATALIA JULIO</t>
  </si>
  <si>
    <t>CC-78673340</t>
  </si>
  <si>
    <t>CESAR EUGENIO DELACRUZ ORDOSGOITIA</t>
  </si>
  <si>
    <t>CL 28 13A 24 AP 410</t>
  </si>
  <si>
    <t>n la viabilidad que se evidenció es necesario llevar el drop unitario hasta la nap asignada,pero existe una obstruccion entre la caja de paso y la toma principal sonda no pasa,no hay guía</t>
  </si>
  <si>
    <t>Orden No viable
MDM-FIBRA-020018118
Se llega a predio, se habla con el usuario el cual autoriza realizar validación, se realiza sondeo de predio a salir a cajas de pasillo en techo y se evidencia que todo va por camilla al llegar a caja de paso en techo cerca al ascensor, la tapa solo se puede correr hasta la mitad. se realiza sondeo y sonda tranca a 1 metro sobre la viga; se trata de mover pero no se encuentra vía a para poder llegar a siguiente caja de paso. única ruta de acceso y no se encuentran guías ni cables que sirvan para tender fibra. No se generan daños ni pérdidas durante la validación. Autoriza supervisor Yeison martinez</t>
  </si>
  <si>
    <t>CC-52009420</t>
  </si>
  <si>
    <t>NELLY TORRES HERNANDEZ</t>
  </si>
  <si>
    <t>CL 6A 89 42 IN 24 AP 401</t>
  </si>
  <si>
    <t xml:space="preserve">obstrucción entre caja de paso de predio a caja de comunicación sonda avanza aproximadamente 4 metros y no se mueve más  </t>
  </si>
  <si>
    <t>Orden Solucionada
HILADO
MDM-FIBRA-020038357
Se llega a predio, se habla con el usuario, se realiza validación y se busca la ruta desde la nap asignada hasta el predio. se realiza hilado desde NAP PRE-CONECTORIZADA y de alli hasta donde se va a dejar el punto. No se generan daños ni pérdidas durante la instalacion. Tecnico jesus silva</t>
  </si>
  <si>
    <t>CC-1030660859</t>
  </si>
  <si>
    <t>MAIRA ALEJANDRA MATIZ BELTRAN</t>
  </si>
  <si>
    <t>CL 65 SUR 104 41 CA 312</t>
  </si>
  <si>
    <t>Orden Solucionada
MDM-FIBRA-020027983
Se ingresa al cliente, se validan tomas telefónicas y caja de distribución en fachada, se realiza sondeo a caja de distribución en anden por tramo largo, se logra pasar la sonda utilizando suavizantes. se realiza tendido de fibra óptica desde el punto requerido por el cliente saliendo a la caja de distribución en pasillo y posteriormente pasando por tres cajas más en anden llegando a la caja cpd donde se encuentra la nap asignada. Se gastan 55 MTS de F.O de baja fricción. No se generan daños ni pérdidas durante la instalacion. Tecnico fredy corredor</t>
  </si>
  <si>
    <t>*Orden Cancelada*
MDM-FIBRA-020049215
estado caso
CLIENTE DESISTE
observaciones
CD HORA: 2026-08-08 12:25:40 TK:174671 ORDEN:MDM-FIBRA-020049215 NOTAS U observaciones claras:jairo bernardo parra forero 3002681013 3005725365 usuario confirmacion e informa que no se logro pasar cableado , adicional prefiere que no haya cables figurados dentro del predio como lo confirma el tecnico sms cari ai: - numero del tecnico: se realiza validación de ruta con viabilidad y acceso a predio. al cliente le ofrecieron 1 deco pero dentro del precio no hay caja de distribución interna y cliente no acepta cables figurados dentro del predio y prefiere cancelar el servicio CHICO, 13-08-26 BACK: NATALIA JULIO</t>
  </si>
  <si>
    <t>CC-52786113</t>
  </si>
  <si>
    <t>DIANA MARITZA GONZALEZ GARZON</t>
  </si>
  <si>
    <t>KR 98A 61A 29 SUR PI 2</t>
  </si>
  <si>
    <t xml:space="preserve"> Técnico valida en predio, no se cuenta con ductos para ingreso de la fibra por remodelaciones que hubieron anteriormente</t>
  </si>
  <si>
    <t>No viable// Técnico valida en predio, no se cuenta con ductos para ingreso de la fibra por remodelaciones que hubieron anteriormente</t>
  </si>
  <si>
    <t>CC-79908285</t>
  </si>
  <si>
    <t>LUIS FERNANDO RODRIGUEZ ALBA</t>
  </si>
  <si>
    <t>DG 62 SUR 20A 42 CA 111</t>
  </si>
  <si>
    <t>se llega al predio se realiza la instalcion pero la ducteria esta obstruida</t>
  </si>
  <si>
    <t>*Orden Solucionada*
MDM-FIBRA-020016526
Se realiza validacion y sondeo desde caja telefonica, saliendo a caja fachada y desde alli hasta caja de paso en el piso, se lleva hasta la siguiente caja de paso donde se encuentra la nap.  En predio se deja donde es requerido. Se gastan 30 Mts Baja Friccion. xNo se generan daños ni pérdidas durante la instalacion. Tecnico luis hoyos</t>
  </si>
  <si>
    <t>MDM-FIBRA-020025506</t>
  </si>
  <si>
    <t>MDM-FIBRA-020025658</t>
  </si>
  <si>
    <t>MDM-FIBRA-020028502</t>
  </si>
  <si>
    <t>MDM-FIBRA-019987305</t>
  </si>
  <si>
    <t>MDM-FIBRA-020027789</t>
  </si>
  <si>
    <t>MDM-FIBRA-020035411</t>
  </si>
  <si>
    <t>MDM-FIBRA-020029989</t>
  </si>
  <si>
    <t>MDM-FIBRA-020035549</t>
  </si>
  <si>
    <t>MDM-FIBRA-020004436</t>
  </si>
  <si>
    <t>MDM-FIBRA-020029788</t>
  </si>
  <si>
    <t>MDM-FIBRA-019912807</t>
  </si>
  <si>
    <t>MDM-FIBRA-019975350</t>
  </si>
  <si>
    <t>MDM-FIBRA-020027012</t>
  </si>
  <si>
    <t>MDM-FIBRA-020050428</t>
  </si>
  <si>
    <t>MDM-FIBRA-020030363</t>
  </si>
  <si>
    <t>CC-1065601802</t>
  </si>
  <si>
    <t>MOISES ALEJANDRO DIAZ QUINTERO</t>
  </si>
  <si>
    <t>KR 63 22 10 BQ 1 CA 4</t>
  </si>
  <si>
    <t xml:space="preserve"> en la viabilidad que se evidenció, es necesario llevar el drop unitario hasta la nap asignada, pero se encontró una obstruccion entre cámaras de paso, sonda no pasa, existentes no se mueven</t>
  </si>
  <si>
    <t>Orden No viable
MDM-FIBRA-020025506
Se llega a predio, se realiza validación desde la nap asignada pero las cajas que conectan para la casa se encontro obstruccion, se realiza sondeo no se logra pasar,  se valida ct más cercana  pero las tuberías también están obstruidas, se pide permiso a varios residentes para validación de cajas y la sonda no pasa. No se generan daños ni pérdidas durante la validacion. autoriza supervisor Yeison martinez.</t>
  </si>
  <si>
    <t>Orden Solucionada
MDM-FIBRA-020031166
Se instalan 59 MTRS de drop de baja fricción desde la caja de paso ubicada en piso 6 bajamos el drop y lo pasamos por el techo hasta ducto acondicionado, se pasa a la caja de paso, luego por ducto de telefonía hasta la toma principal,  se lleva perfilado por el guardescobas hasta la esquina del punto indicado. No se generan daños ni pérdidas durante la instalacion. Tecnico edwin diaz</t>
  </si>
  <si>
    <t>CC-80822121</t>
  </si>
  <si>
    <t>MARTIN ANZELLINI GARCIA REYES</t>
  </si>
  <si>
    <t>CL 78 12 29 IN 3 AP 702</t>
  </si>
  <si>
    <t xml:space="preserve">ducteria  obstruida tubos galvanizado lo cual se oxidaron y no deja mover los cables la sonda solo entra medio metro tapados </t>
  </si>
  <si>
    <t>MDM-FIBRA-020025658
estado caso
NO CONTACTADO
observaciones
CD HORA:2026-08-10 11:40:29 TK:174839 ORDEN:MDM-FIBRA-020025658 NOTAS U OBSERVACIONES CLARAS: TIPOLOGÍA YA NO SE MANEJA POR CD BACK:DANNA CORREA NOTAS TECNICO:cuadrilla en predio, cliente no responde a contacto, seguridad indica que cliente no responde</t>
  </si>
  <si>
    <t>CC-52853990</t>
  </si>
  <si>
    <t>JOHANNA MILENA RODRIGUEZ CASTILLO</t>
  </si>
  <si>
    <t>CL 7 94 78 CA 236</t>
  </si>
  <si>
    <t>obstrucción entre cámaras de paso sonda avanza aproximadamente 6 m y tranca cables de guía tampoco</t>
  </si>
  <si>
    <t>Aplazamiento
MDM-FIBRA-020028502
estado caso
NO CONTACTADO
observaciones
CD HORA:2026-08-10 12:07:47 TK:174849 ORDEN:MDM-FIBRA-020028502 NOTAS U OBSERVACIONES CLARAS: TIPOLOGÍA YA NO SE MANEJA POR CD BACK:DANNA CORREA NOTAS TECNICO:cuadrilla en predio, cliente indica que no puede recibir el dia de hoy, solicita reprogramar para el dia 12-08 en am</t>
  </si>
  <si>
    <t>CC-1140880469</t>
  </si>
  <si>
    <t>SERGIO ANDRES GOMEZ LUQUE</t>
  </si>
  <si>
    <t>KR 7 62 43 AP 501</t>
  </si>
  <si>
    <t xml:space="preserve"> se llega a predio se valida ingreso por tomas telefónicas y de coaxial el cual no puedo ingresar la sonda ingresa pero no llega ala caja de paso se encuentra una obstrucion como a 10 metros</t>
  </si>
  <si>
    <t>Aplazamiento
MDM-FIBRA-019987305
cuadrilla en predio, se marca a contacto, cliente solicita reprogramar para el dia 11-08 en pm</t>
  </si>
  <si>
    <t>CC-1030676580</t>
  </si>
  <si>
    <t>SANTIAGO ALFONSO ACOSTA AYOLA</t>
  </si>
  <si>
    <t>KR 98 2 32 ET 2 IN 2 AP 404</t>
  </si>
  <si>
    <t xml:space="preserve">Realiza validación obstrucción de nap a predio pasando por 4 cdp </t>
  </si>
  <si>
    <t>Orden Solucionada
HILADO
MDM-FIBRA-020027789
Se realiza validacion y sondeo desde caja tv, se envía sonda hasta llegar a caja de paso en pasillo,  baja hasta el 1er piso donde se debe cruzar a un strip telefonico y de ahí sale hasta la caja de condensa donde se encuentra la nap asignada. En prdio se deja hilado hasta sitio indicado. No se generan daños ni pérdidas durante la instalacion. Tecnico Luis hoyos</t>
  </si>
  <si>
    <t>CC-52890252</t>
  </si>
  <si>
    <t>JENNY CONSTANZA RENGIFO GONZALEZ</t>
  </si>
  <si>
    <t>CL 60A SUR 73 71 TO 6 AP 423</t>
  </si>
  <si>
    <t>se requiere guia para el apartamento cableado de claro no se mueve y no permiten retirarlo</t>
  </si>
  <si>
    <t>Orden Solucionada
MDM-FIBRA-020035411
Se realiza validacion y sondeo desde caja tv, el cliente cuenta con servicios de claro, se envía sonda con dificultad hasta llegar a la caja de paso en pasillo, se baja 2 piso hasta llegar a Furukawa asignada.  En predio se deja donde es requerido. Se gastan 25 Mts Baja Fricción. No se generan daños ni pérdidas durante la instalacion. Tecnico luis hoyos</t>
  </si>
  <si>
    <t>CC-52290456</t>
  </si>
  <si>
    <t>DIANA ROCIO GUZMAN GUERRERO</t>
  </si>
  <si>
    <t>CL 163B 50 64 IN 4 AP 514</t>
  </si>
  <si>
    <t>Orden Cancelada
MDM-FIBRA-020029989
Cuadrilla en predio, se marca a contacto, cliente indica que decidio cancelar el servicio.</t>
  </si>
  <si>
    <t>CE-697538</t>
  </si>
  <si>
    <t>ILIANA DE LOS ANGELES FLORES PEREZ</t>
  </si>
  <si>
    <t>KR 9 82 30 AP 402</t>
  </si>
  <si>
    <t>orden no pasa la sonda del apartamento a la caja ni de la caja al apto adicional cogieron el cuarto donde esta la CT de etb como deposito</t>
  </si>
  <si>
    <t>Orden Solucionada
MDM-FIBRA-020035549
Se ingresa al cliente, se validan tomas telefónicas y caja de distribución en pasillo, se realiza sondeo de ductos tramo largo y ducto saturados de cables,  se logra pasar la sonda. se realiza tendido de fibra óptica desde el punto requerido por el cliente saliendo a la caja de distribución en pasillo donde se encuentra la CT asignada. Se gastan 30 MTS de F.O de baja fricción. No se generan daños ni pérdidas durante la instalacion. Tecnico fredy corredor</t>
  </si>
  <si>
    <t>CC-1030601512</t>
  </si>
  <si>
    <t>ANA LORENA RIOS OLIVEROS</t>
  </si>
  <si>
    <t>CL 96 45A 40 ET 2 AG 1 IN 3 AP 101</t>
  </si>
  <si>
    <t>Orden No viable
MDM-FIBRA-020004436
realizamos validación de ruta para tendido, evidenciamos que de la toma principal hacia la caja de paso la sonda  ingresa 7 mtrs y tranca, de afuera hacia adentro ingresan  5 mtrs y se tranca; no hay tomas de tv, cable coaxial existente no se mueve,  por citofono cliente no autoriza cablear por fuera; no hay ingreso por tv, no hay comunicación al sótano. No se generan daños ni pérdidas durante la validación. autoriza supervisor Yeison martinez.</t>
  </si>
  <si>
    <t>CC-1019037446</t>
  </si>
  <si>
    <t>ICZAN JAIR ALVARADO DUARTE</t>
  </si>
  <si>
    <t>CL 193 7 37 AP 805</t>
  </si>
  <si>
    <t>Aplazamiento
MDM-FIBRA-020029788
estado caso
NO CONTACTADO
observaciones
CD HORA: 2026-08-10 11:24:51 TK: 174833 ORDEN: MDM-FIBRA-020029788 NOTAS U OBSERVACIONES CLARAS: solicitud de la orden no se gestiona desde despachos BACK:jeisy hernandez NOTAS TECNICO: cuadrilla en predio, se marca a contacto, cliente solicita reprogramar para el dia viernes 14-08</t>
  </si>
  <si>
    <t>CC-52500693</t>
  </si>
  <si>
    <t>SANDRA MILENA CUESTA RAMIREZ</t>
  </si>
  <si>
    <t>CL 7 94 61 CA 15</t>
  </si>
  <si>
    <t xml:space="preserve">Realiza validación, encuentra obstrucción entre cajas de paso toca cablear de pto hasta nap </t>
  </si>
  <si>
    <t>MDM-FIBRA-019912807
NO CONTACTADO
cuadrilla en predio, se marca a contacto sin respuesta, seguridad indica que no hay nadie.</t>
  </si>
  <si>
    <t>MDM-FIBRA-020024349
estado caso
NO CONTACTADO
observaciones
CD HORA 2026-08-10 08:58:48 TK 174795 MDM-FIBRA-020024349 NOTAS YA NO APLICA PARA GESTION DE NEXUS BACK LINDA PARRA NOTAS TEC cuadrilla en predio, cliente indica que decidio cancelar el servicio DIRECCION CL 105 19A 74 AP 601 CONTACTO 3116498091 CLIENTE MARCO ANTONIO SALVATIERRA FIGUEROA</t>
  </si>
  <si>
    <t>CC-52110231</t>
  </si>
  <si>
    <t>NUVIA BRAVO HERNADEZ</t>
  </si>
  <si>
    <t>CL 152A 101A 45 IN 12 AP 501</t>
  </si>
  <si>
    <t>Aplazamiento
MDM-FIBRA-019975350
cuadrilla en predio, se marca a contacto, cliente solicita reprogramar para el dia sabado 15-08 en am</t>
  </si>
  <si>
    <t>MDM-FIBRA-020025524
estado caso
NO CONTACTADO
observaciones
CD HORA 2026-08-10 10:28:25 TK 174818 MDM-FIBRA-020025524 NOTAS YA NO APLICA PARA GESTION DE NEXUS BACK LINDA PARRA NOTAS TEC cuadrilla en predio, se marca a contactos sin respuesta DIRECCION KR 8 170 52 TO 5 AP 101 CONTACTO 3226573185 3153716581 CLIENTE JULIETH CAROLINA JULIO CAJAR</t>
  </si>
  <si>
    <t>CC-51914698</t>
  </si>
  <si>
    <t>MARTHA YOLANDA ALVARADO MORALES</t>
  </si>
  <si>
    <t>AK 18 12 85 LC A8</t>
  </si>
  <si>
    <t>drop a nap desde local, se debe hacer tendido por tejado a petición de la administración, presenta riesgo de daño a terceros e integridad de el técnico, además piden que en el recorrido por el pasillo adecuemos ductos para la fibra</t>
  </si>
  <si>
    <t>No viable//drop a nap desde local, se debe hacer tendido por tejado a petición de la administración, presenta riesgo de daño a terceros e integridad de el técnico, además piden que en el recorrido por el pasillo adecuemos ductos para la fibra</t>
  </si>
  <si>
    <t>CC-1032459338</t>
  </si>
  <si>
    <t>LAURA PATRICIA GERENA CASTRO</t>
  </si>
  <si>
    <t>KR 47 57A 24 BQ 2 AP 303</t>
  </si>
  <si>
    <t>se realizo sondeo de la canalizacion encontrandose obstruccion</t>
  </si>
  <si>
    <t xml:space="preserve">*Aplazamiento*
MDM-FIBRA-020050428
No se finaliza validacion,  la persona encargada de abrir el cuarto de paso en piso 1 ya se va. Cliente pide reagendar para mañana Martes  11/08/2026 8 AM en lo posible.
</t>
  </si>
  <si>
    <t>NIT-901986865</t>
  </si>
  <si>
    <t>INVERSIONES CARBUMODA S.A.S</t>
  </si>
  <si>
    <t>AC 13 60 77 BG</t>
  </si>
  <si>
    <t>ducteria obstruida no pasa sonda, obstruccion</t>
  </si>
  <si>
    <t>*Aplazamiento*
MDM-FIBRA-020030363
Por horario de administracion no permiten ma slabores, cliente solicita continuar el dia 11-08</t>
  </si>
  <si>
    <t>MDM-FIBRA-020024260</t>
  </si>
  <si>
    <t>MDM-FIBRA-020018822</t>
  </si>
  <si>
    <t>MDM-FIBRA-019987421</t>
  </si>
  <si>
    <t>MDM-FIBRA-020032379</t>
  </si>
  <si>
    <t>MDM-FIBRA-020042477</t>
  </si>
  <si>
    <t>MDM-FIBRA-020028482</t>
  </si>
  <si>
    <t>MDM-FIBRA-020047273</t>
  </si>
  <si>
    <t>MDM-FIBRA-020040192</t>
  </si>
  <si>
    <t>MDM-FIBRA-019878851</t>
  </si>
  <si>
    <t>MDM-FIBRA-020041836</t>
  </si>
  <si>
    <t>MDM-FIBRA-020028550</t>
  </si>
  <si>
    <t>MDM-FIBRA-020047515</t>
  </si>
  <si>
    <t>MDM-FIBRA-020005430</t>
  </si>
  <si>
    <t>MDM-FIBRA-019945284</t>
  </si>
  <si>
    <t>MDM-FIBRA-019946600</t>
  </si>
  <si>
    <t>Orden Solucionada
MDM-FIBRA-020018582
Se instalan 56 MTRS de drop de baja fricción desde la furukawa asignada en sótano,  se pasa por 2 caja de paso en primer piso,  enviamos el drop perfilado por el marco de la puerta dando la vuelta para ingresar por toma de teléfono que comparte con citofono hasta la toma principal,  de esta pasamos a la toma de la cocina luego al segundo piso a toma de teléfono y subimos al piso 3 a la toma de teléfono donde usuario solicita el servicio .los citofonos están son servicio. técnico de instalaciones debe revisar tomas de TV en predio seguramente poner un ap en el primer piso de moviéndose por las tomas de ingreso .la TV va por otra ruta. No se generan daños ni pérdidas durante la instalacion. Tecnico edwin diaz</t>
  </si>
  <si>
    <t>Aplazamiento
MDM-FIBRA-020018196
Cuadrilla en predio, se marca a contacto, cliente indica que no puede atender, solicita reprogramar para el dia sabado 15-08 en am</t>
  </si>
  <si>
    <t>KR 95A 34 75 SUR IN 21 AP 402</t>
  </si>
  <si>
    <t>ALEXANDRE GONZALEZ VERGARA</t>
  </si>
  <si>
    <t xml:space="preserve"> la sonda no pasa del nap a la caja de paso que comunica la fachada del cliente</t>
  </si>
  <si>
    <t>Orden Solucionada
HILADO
MDM-FIBRA-020024260
Se realiza validacion y sondeo desde caja tv, el apto cuenta con canaleta en la parte de atras, se empieza sondeo desde caja de paso en zona común llegando a caja de paso hasta llegar a la nap asignada. En predio se deja en sitio indicado. No se generan daños ni pérdidas durante la instalacion. Tecnico luis hoyos</t>
  </si>
  <si>
    <t>DG 82C 75A 65 AP 410</t>
  </si>
  <si>
    <t>WILSON ORLANDO ACOSTA RUGELES</t>
  </si>
  <si>
    <t>realiza validación, encuentra obstrucción entre cajas de paso, toca cablear de pto hasta nap.</t>
  </si>
  <si>
    <t>Orden Solucionada
HILADO
MDM-FIBRA-020018822
Se llega a predio, se habla con el usuario el cual autoriza realizar validación, se evidencia ducteria obstruida de bloque hacía área común y en cajas peatonales. Se realiza hilado desde la NAP PRECONECTORIZADA que queda enfrente del bloque 6, se pasa a bloque 7, se pasa por otras cajas desde bloque 7 a bloque 5. se sube piso a piso hasta el 4,  ingresa a predio por toma principal de la sala y se deja en punto requerido por el cliente. No se generan daños ni pérdidas durante la instalacion. Tecnico cesar hernandez</t>
  </si>
  <si>
    <t>KR 92 71 41 SUR CA 182</t>
  </si>
  <si>
    <t>CAMILA NOGUERA RIVAS</t>
  </si>
  <si>
    <t>Ducteria obstruida tapada con barro se requiere apoyo de cuadrilla especializada</t>
  </si>
  <si>
    <t>Orden Solucionada
HILADO
MDM-FIBRA-019987421
Se ingresa al cliente, se realiza validación y sondeo, encontrando viabilidad con cambio de NAP =N2HO11_F33. Se realiza hilado desde el punto requerido por el cliente saliendo a la caja de distribución en anden, subiendo al strip telefónico y bajando a la caja de distribución en anden y posteriormente llegando a la caja CPD donde se encuentra la nap asignada. El técnico instalador debe traer F.O preconectarizada de 50 mts. No se generan daños ni pérdidas durante la instalacion. Tecnico Fredy corredor</t>
  </si>
  <si>
    <t>Aplazamiento
MDM-FIBRA-020028502
cuadrilla en predio, cliente indica que no puede recibir el dia de hoy, solicita reprogramar para el dia 12-08 en am</t>
  </si>
  <si>
    <t>KR 97F 34A 30 SUR ET 1 IN 21 AP 401</t>
  </si>
  <si>
    <t>ANDRES JULIAN LEON TUNJUELO</t>
  </si>
  <si>
    <t>Escalar orden ya que no hay paso de la cámara del NAP hasta el bloque</t>
  </si>
  <si>
    <t>Orden No viable
MDM-FIBRA-020032379
Se realiza validacion y sondeo desde caja fachada, apartamento cuenta con canaletas en la parte izquierda de la torre 21 , sonda ingresa 5mts y no avanza más, se envía sonda desde caja donde se encuentra la nap asignada, ingresa misma cantidad y tranca,  cable coaxial existe no se mueve. No se generan daños ni pérdidas durante la validacion. autoriza supervisor Yeison martinez.</t>
  </si>
  <si>
    <t>KR 90A 45A 05 SUR CA 12</t>
  </si>
  <si>
    <t>JENNY PAOLA OSORIO REYES</t>
  </si>
  <si>
    <t xml:space="preserve">Escalar orden ya que no pasa la sonda entre cajas de paso </t>
  </si>
  <si>
    <t>Orden Solucionada
MDM-FIBRA-020042477
Se ingresa al cliente, se validan tomas telefónicas y caja de distribución en anden, se realiza sondeo de ductos tramos largos. Se realiza tendido de fibra óptica desde el punto requerido por el cliente saliendo a la caja de distribución en anden y subiendo al strip telefónico y llegando a la caja CPSR donde se encuentra la nap asignada. Se gastan 30 MTS de F.O de baja fricción. No se generan daños ni pérdidas durante la instalacion. Tecnico fredy corredor</t>
  </si>
  <si>
    <t>KR 6 6D 50 IN 4 AP 501</t>
  </si>
  <si>
    <t>NATALIA ARTUNDUAGA HURTADO</t>
  </si>
  <si>
    <t>en la viabilidad que se evidenció es necesario llevar el drop unitario hasta la nap,pero la guía del coaxial no se mueve al halar se mueven con una fibra,no se puede halar duro se puede dañar la fibra</t>
  </si>
  <si>
    <t>Orden No viable
MDM-FIBRA-020028482
Se realizó validación de ruta para tendido, evidenciamos que no hay caja de paso hay un vacío por donde  ingresaron un coaxial que viene del sótano pero no se mueve,  el cable está amarrado en otro piso, al enviar la sonda no se logro pasar,  hablamos con todero y este dijo que no se puede pasar por qué sellaron la bajante por lo tanto no hay ingreso para el drop .se válida toma de teléfono pero está va compartida entre pisos no hay más rutas por donde bajar el drop al sótano. No se generan daños ni pérdidas durante la validacion. autoriza supervisor Yeison martinez.</t>
  </si>
  <si>
    <t>DG 61 SUR 20B 36 CA 161</t>
  </si>
  <si>
    <t>OLGA LUCIA GONZALEZ GONZALEZ</t>
  </si>
  <si>
    <t xml:space="preserve">Se evidencia obstrucción de la tubería de la casa a la caja de paso </t>
  </si>
  <si>
    <t>Orden Solucionada
MDM-FIBRA-020047273
Se ingresa al cliente, se validan tomas telefónicas y caja de distribución en fachada, se encuentra un cable obstruyendo el ducto se logra retirar. Se realiza tendido de fibra óptica desde el punto requerido por el cliente saliendo a la caja de distribución en fachada y posteriormente llegando a la caja de distribución en anden donde se encuentra la nap asignada. Se gastan 20 MTS de F.O de baja fricción. No se generan daños ni pérdidas durante la instalacion. Tecnico fredy corredor</t>
  </si>
  <si>
    <t>KR 103D 86 55 IN 41</t>
  </si>
  <si>
    <t>KAREN JULIETH TOLOSA MORENO</t>
  </si>
  <si>
    <t>realiza validacion, encuentra obstrucción entre cajas de paso a cámaras, toca cablear de pto hasta nap.</t>
  </si>
  <si>
    <t>Orden Solucionada
MDM-FIBRA 020040192
Se llega a predio, se habla con el usuario el cual autoriza realizar validación. se evidencia ducteria obstruida de predio hacia afuera y en cajas de paso peatonal. se aplica jabón líquido, agua caliente y por último se realiza pesca. se tiende fibra desde la nap, pasando por 2 cajas de paso peatonal (canalizado) y 1 mural.  ingresa a predio por toma principal de piso 1, sube a alcoba en piso 2 y se deja en punto requerido. Se gastan 60 mts de baja fricción. No se generan daños ni pérdidas durante la instalacion. Tecnico cesar hernandez</t>
  </si>
  <si>
    <t>CL 2 93D 69 TO 8 AP 102</t>
  </si>
  <si>
    <t>FERNANDA YERALDIN DIAZ BOHORQUEZ</t>
  </si>
  <si>
    <t>Escalar orden ya que no pasa la Sonda para realizar el tendido desde caja de distribución de piso hasta el nap</t>
  </si>
  <si>
    <t xml:space="preserve">*Orden Solucionada*
*HILADO*
MDM-FIBRA-019878851
Se llega a predio, se habla con el usuario, se realiza validación, se busca la ruta desde la nap asignada, se realiza hilado hasta el  punto requerido por el cliente. No se generan daños ni pérdidas durante la instalacion. Tecnico jesus silva
</t>
  </si>
  <si>
    <t>KR 87 BIS 51 56 SUR</t>
  </si>
  <si>
    <t>LUIS MARIANO IBAÑEZ MARTINEZ</t>
  </si>
  <si>
    <t>Se presenta obstrucción en la duquería que comunica del apartamento de la parte de atrás del predio hasta la fachada se le explica al cliente el manejo que se le debe dar con el dueño de la casa para poder realizar la instalación</t>
  </si>
  <si>
    <t>No viable/Se presenta obstrucción en la duquería que comunica del apartamento de la parte de atrás del predio hasta la fachada se le explica al cliente el manejo que se le debe dar con el dueño de la casa para poder realizar la instalación</t>
  </si>
  <si>
    <t>AC 9 50 15 LC 313</t>
  </si>
  <si>
    <t>ELPERITO.COM SAS</t>
  </si>
  <si>
    <t>Se evidencia que para cruzar la fibra de un lado a otro se debe utilizar una guia la cual el centro comercial dispuso para no incurrir en un accidente al momento de pasar las fibras, pero la guia esta atorada en la mitad del tramo la cual no hay acceso, se intenta colocar la escalera doble paso pero no alcanza, no cuenta con tuberia para poder sondear, cliente va hablar con el centro comercial para que dejen la guia para poder pasar la fibra y cuando la tengan se comunican</t>
  </si>
  <si>
    <t>No viable//Se evidencia que para cruzar la fibra de un lado a otro se debe utilizar una guia la cual el centro comercial dispuso para no incurrir en un accidente al momento de pasar las fibras, pero la guia esta atorada en la mitad del tramo la cual no hay acceso, se intenta colocar la escalera doble paso pero no alcanza, no cuenta con tuberia para poder sondear, cliente va hablar con el centro comercial para que dejen la guia para poder pasar la fibra y cuando la tengan se comunican</t>
  </si>
  <si>
    <t>Orden Solucionada
MDM-FIBRA-020030363
Se llega a predio, se realiza validación y se busca la ruta desde la nap asignada hasta el predio; se tiende fibra desde la nap,  pasa por ductería existente,  Se deja fibra en punta en la nap y de alli hasta donde se va a dejar el punto. Se gastan 150 mts fibra indoor outdoor. 2 herrajes. No se generan daños ni pérdidas durante la instalacion. Tecnico jesus silva</t>
  </si>
  <si>
    <t>KR 100 50B 45 SUR TO 21 IN 1 AP 104</t>
  </si>
  <si>
    <t>BRAYAN SNADER GALEANO LARA</t>
  </si>
  <si>
    <t xml:space="preserve"> valida en predio, pero no se cuenta con viabilidad del predio a la nap, no se cuenta con dutos para pasar la fibra</t>
  </si>
  <si>
    <t>No viable/ valida en predio, pero no se cuenta con viabilidad del predio a la nap, no se cuenta con dutos para pasar la fibra</t>
  </si>
  <si>
    <t>KR 12I 33 57 SUR</t>
  </si>
  <si>
    <t>ANGELA TATIANA GUZMAN GALINDO</t>
  </si>
  <si>
    <t>La asignada se encuentra a más de 250 metros que es lo autorizado por interventoría de ETB, se vaidan nap s cercanas N1SI14_H2  estan copadas</t>
  </si>
  <si>
    <t>No viable// La asignada se encuentra a más de 250 metros que es lo autorizado por interventoría de ETB, se vaidan nap s cercanas N1SI14_H2  estan copadas</t>
  </si>
  <si>
    <t>CL 23 13A 37 PI 3</t>
  </si>
  <si>
    <t>CRUZ SOLSIRE GUTIERREZ PACHECO</t>
  </si>
  <si>
    <t>Orden no se puede realizar ya que la fibra saldría de una N2 que se encuentra en cámara y no tenemos una bajante que nos comunique por dónde se encuentra el predio no hay más opciones par enviar la fibra</t>
  </si>
  <si>
    <t>No viable//Orden no se puede realizar ya que la fibra saldría de una N2 que se encuentra en cámara y no tenemos una bajante que nos comunique por dónde se encuentra el predio no hay más opciones par enviar la fibra</t>
  </si>
  <si>
    <t>CL 23 13A 37</t>
  </si>
  <si>
    <t>DEYLIBETH CHIQUINQUIRA GARCIA QUINTERO</t>
  </si>
  <si>
    <t>MDM-FIBRA-020050199</t>
  </si>
  <si>
    <t>MDM-FIBRA-020017872</t>
  </si>
  <si>
    <t>MDM-FIBRA-020005829</t>
  </si>
  <si>
    <t>MDM-FIBRA-020013724</t>
  </si>
  <si>
    <t>MDM-FIBRA-020057622</t>
  </si>
  <si>
    <t>MDM-FIBRA-020048808</t>
  </si>
  <si>
    <t>MDM-FIBRA-020053643</t>
  </si>
  <si>
    <t>MDM-FIBRA-020026585</t>
  </si>
  <si>
    <t>MDM-FIBRA-020064086</t>
  </si>
  <si>
    <t>MDM-FIBRA-020044494</t>
  </si>
  <si>
    <t>MDM-FIBRA-020047971</t>
  </si>
  <si>
    <t>MDM-FIBRA-020049670</t>
  </si>
  <si>
    <t>MDM-FIBRA-020042217</t>
  </si>
  <si>
    <t>MDM-FIBRA-020041447</t>
  </si>
  <si>
    <t>MDM-FIBRA-020042024</t>
  </si>
  <si>
    <t>MDM-FIBRA-020051767</t>
  </si>
  <si>
    <t>CC-1004381319</t>
  </si>
  <si>
    <t>JAVIER HERNESTO ALONSO JUVINAO</t>
  </si>
  <si>
    <t>KR 85A 44 09 SUR IN 10 AP 339</t>
  </si>
  <si>
    <t>obstrucción entre caja de paso interna a caja de paso en pasillo sonda avanza aproximadamente 4 metros</t>
  </si>
  <si>
    <t>Orden Solucionada
MDM-FIBRA-020050199
Se ingresa al cliente, se validan tomas telefónicas y caja de distribución en pasillo, se realiza sondeo de ductos con dificultad para pasar la sonda. Se realiza tendido de fibra óptica desde el punto requerido por el cliente saliendo a la caja de distribución en pasillo donde se encuentra la CP asignada. Se gastan 20 MTS de F.O de baja fricción. No se generan daños ni pérdidas durante la instalacion. Tecnico fredy corredor</t>
  </si>
  <si>
    <t>MDM-FIBRA-020028502
NO CONTACTADO
Cuadrilla en predio, se marca a contacto sin repsuesta, seguridad indica que no responde.</t>
  </si>
  <si>
    <t>CC-42202402</t>
  </si>
  <si>
    <t>ROSALBA MARIA MARTINEZ RAMIREZ</t>
  </si>
  <si>
    <t>CL 128B 121C 24 BQ 136 AP 401</t>
  </si>
  <si>
    <t xml:space="preserve"> Se realizó el intento de pasar la sonda guía a través del ducto de entrada para ingresar el cable de fibra óptica al departamento.* La sonda se bloquea/obstruye en el trayecto</t>
  </si>
  <si>
    <t>*Orden Solucionada*
MDM-FIBRA-020017872
Se llega a predio, se habla con el usuario el cual autoriza realizar validación. No se encuentra comunicación de predio a cajas de paso en pasillo. Se busca ruta alterna x fachada. Se extiende fibra desde la *NAP PRECONECTORIZADA*, pasando por  2 cajas de paso peatonal (Canalizado) y 1 mural. Se sube por canaleta existente hasta piso 4, se ingresa por perforación realizada en sala y se deja en punto requerido por el cliente.No se generan daños ni pérdidas durante la instalacion. Tecnico cesar hernandez</t>
  </si>
  <si>
    <t>CE-426835</t>
  </si>
  <si>
    <t>VIGO JESUS ARAUJO NAVAS</t>
  </si>
  <si>
    <t>KR 68G 9C 97 TO 3 AP 505</t>
  </si>
  <si>
    <t xml:space="preserve">se llega al predio se realiza cableado pero no pasa el cable de la caja de paso al apt de cliente </t>
  </si>
  <si>
    <t>MDM-FIBRA-020005829
NO CONTACTADO
Cuadrilla en predio, se marca a contactos sin repsuesta, 3008252608 buzon de voz  3113235081 timbra no responde// seguridad indica que no responde.</t>
  </si>
  <si>
    <t>CC-1033782393</t>
  </si>
  <si>
    <t>EDILSON FABIAN VERGARA FONSECA</t>
  </si>
  <si>
    <t>DG 62 SUR 20A 42 CA 78</t>
  </si>
  <si>
    <t xml:space="preserve"> tubería obstruida de strip telefónico a caja de paso</t>
  </si>
  <si>
    <t>Orden Solucionada
MDM-FIBRA-020013724
Se realiza validación y sondeo desde caja telefonica, pasa hacia caja fachada, se  llega hasta caja de paso, sigue por 3 cajas más antes de llegar a la nap asignada. En predio se deja donde es requerido. Se gastan 75 Mts Baja Friccion. No se generan daños ni pérdidas durante la instalacion. Tecnico luis hoyos</t>
  </si>
  <si>
    <t>CC-80032288</t>
  </si>
  <si>
    <t>FREDY YESID GONZALEZ ESTUPIÑAN</t>
  </si>
  <si>
    <t>KR 110A 88 30</t>
  </si>
  <si>
    <t>Aplazamiento
MDM-FIBRA-020057622
Por horairo de administracion no permiten mas labores, cliente solicita continuar el dia 14-08 en am</t>
  </si>
  <si>
    <t>CC-79368395</t>
  </si>
  <si>
    <t>PEDRO MIGUEL PRIETO SUAREZ</t>
  </si>
  <si>
    <t>CL 57Z SUR 75D 67 CA 178</t>
  </si>
  <si>
    <t xml:space="preserve">Ducteria  en caja de paso hacia el predio del cliente </t>
  </si>
  <si>
    <t>Orden Solucionada
MDM-FIBRA-020048808
Se ingresa al cliente se validan tomas telefónicas y cajas de distribución en anden, se realiza sondeo de ductos con dificultad ya que se encuentra una caja de pasa tapada por remodelaciones en anden, se logra pasar la sonda utilizando métodos de pesca y se valida ruta. se realiza tendido de fibra óptica desde el punto requerido por el cliente saliendo a la caja de distribución en anden, subiendo al strip telefónico,  llegando a la caja CPS donde se encuentra la nap asignada. Se gastan 70 mts de F.O de baja fricción. No se generan daños ni pérdidas durante la instalacion. Tecnico fredy corredor</t>
  </si>
  <si>
    <t>CC-80857002</t>
  </si>
  <si>
    <t>DIEGO ALEJANDRO HURTADO MORENO</t>
  </si>
  <si>
    <t>CL 8C 92 72 CS 76</t>
  </si>
  <si>
    <t>obstrucción entre tuberías de paso de predio a caja de comunicación para hacer el respectivo ingreso del cableado</t>
  </si>
  <si>
    <t>Orden Solucionada
MDM-FIBRA-020053643
Se llega a predio, se realiza validacion encontrando viabilidad con cambio de NAP= N2FO05_F21. se tiende fibra desde la nap hasta el  punto requerido por el cliente. Se gastan 130 mts de drop de baja fricción. No se generan daños ni pérdidas durante la instalacion. Tecnico jesus silva</t>
  </si>
  <si>
    <t>CC-79815572</t>
  </si>
  <si>
    <t>JOSE HERNAN PEDRAZA BELLO</t>
  </si>
  <si>
    <t>CL 83 94 21SUR TO 4 AP 204</t>
  </si>
  <si>
    <t>Ducteria obstruida no pasa sonda se requiere cuadrilla</t>
  </si>
  <si>
    <t>Orden Solucionada
MDM-FIBRA-020026585
Se ingresa al cliente, se validan tomas telefónicas y caja de distribución en pasillo, se realiza sondeo de ductos con dificultad para pasar la sonda por ducto saturado y piedras dentro se logra pasar la sonda utilizando suavizantes y métodos de pesca. Material suministrado por técnico instalador en sitio. No se generan daños ni pérdidas durante la instalacion. Tecnico Fredy corredor</t>
  </si>
  <si>
    <t>CC-51742907</t>
  </si>
  <si>
    <t>HARLEN CRISTINA LEAL CARRILLO</t>
  </si>
  <si>
    <t>KR 17 118 32 IN 1 AP 403</t>
  </si>
  <si>
    <t>se valida ruta de acceso a predio presenta obstrucción,  cliente no deja tomar el otro ducto</t>
  </si>
  <si>
    <t>Orden Solucionada
MDM-FIBRA-020064086
Se instalan 19 MTRS de drop de baja fricción desde la caja de paso por ducto de telefonía enviamos el drop hasta la toma principal ubicada detrás de la puerta principal y luego por ducto de teléfono enviamos el drop hasta la toma de la sala donde usuaria solicita el servicio. No se generan daños ni pérdidas durante la instalacion. Tecnico edwin diaz</t>
  </si>
  <si>
    <t>CC-79474180</t>
  </si>
  <si>
    <t>MARIO FERNANDO BOHORQUEZ INDABURO</t>
  </si>
  <si>
    <t>KR 87B 19A 21 IN 5 AP 601</t>
  </si>
  <si>
    <t>obstrucción entre cajas de paso para llegar con el tendido hasta la nap no admite administración cables por fuera</t>
  </si>
  <si>
    <t>Orden solucionada
MDM-FIBRA-020044494
Se llega a predio, se realiza validación, se busca la ruta desde la nap asignada hasta el predio, dejando en sitio indicado por cliente. Se gastan  70 mts de drop de baja fricción. No se generan daños ni perdidas durante la instalación. Tecnico jesus silva</t>
  </si>
  <si>
    <t>CC-1233888432</t>
  </si>
  <si>
    <t>YESICA LILIANA HERNANDEZ RODRIGUEZ</t>
  </si>
  <si>
    <t>CL 60A SUR 44 11 TO A IN 3 AP 303</t>
  </si>
  <si>
    <t>Aplazamiento
MDM-FIBRA-020047971
No se finalizan actividades, cliente indica que se le presento una urgencia, no puede seguir atendiendo, solicita reprogramar para el dia 13-08 en am</t>
  </si>
  <si>
    <t>CC-32402250</t>
  </si>
  <si>
    <t>MARIA ELVIRA VALENZUELA PARDO</t>
  </si>
  <si>
    <t>KR 6C 132 94 BQ 1 AP 301</t>
  </si>
  <si>
    <t xml:space="preserve">Se valida obstrucción la toma principal hacia la caja de paso externa del apto no pasa la sonda mas de 4 metro </t>
  </si>
  <si>
    <t>Orden Cancelada
MDM-FIBRA-020049670
Cuadrilla en predio, se marca a contacto, cliente indica que decidio cancelar el servicio.</t>
  </si>
  <si>
    <t>CC-1030627405</t>
  </si>
  <si>
    <t>ANDREA CATALINA GONZALEZ GARCIA</t>
  </si>
  <si>
    <t>CL 64 5 12 AP 303</t>
  </si>
  <si>
    <t>obtruida la unica toma telefonuxa que tiene no pasa ni del apartamento ala caja de paso nu al contrario</t>
  </si>
  <si>
    <t>Orden Cancelada
MDM-FIBRA-020042217
Cuadrilla en predio se marca a contacto, cliente indica que cancelo el servicio, debido a que se va de viaje.</t>
  </si>
  <si>
    <t>CC-1019044569</t>
  </si>
  <si>
    <t>JULIAN DAVID RIVERA SANCHEZ</t>
  </si>
  <si>
    <t>CL 154A 92 40 IN 7 AP 501</t>
  </si>
  <si>
    <t>se valida ruta de acceso a predio presenta obstrucción se requiere cuadrilla de quiebtr</t>
  </si>
  <si>
    <t>Orden Solucionada
MDM-FIBRA-020041447
Se llega a predio, se habla con el usuario el cual autoriza realizar validación. Se evidencia ducteria telefonica obstruida, se busca ruta x citofonia. Se tiende fibra desde la NAP que queda en frente del bloque,  sube piso a piso hasta el 5, se ingresa a apartamento por citofonia en cocina. Se figura por techo, se saca a sala figurandola por guardaescobas a llegar a la sala y se deja en punto requerido. Se gastan 70 mts de Baja Fricción. No se generan daños ni pérdidas durante la instalacion.</t>
  </si>
  <si>
    <t>NIT-900510844</t>
  </si>
  <si>
    <t>CENTRO DE EVALUACION DIAGNOSTICA Y REHABILITACION NEUROCOGNITIVA S A S</t>
  </si>
  <si>
    <t>KR 35 13 13</t>
  </si>
  <si>
    <t>desde la nap asignada excede la distancia permitida por la interventoria de ETB el tendido tiene una longitud aproximadamente de 290 mts</t>
  </si>
  <si>
    <t>No viable//desde la nap asignada excede la distancia permitida por la interventoria de ETB el tendido tiene una longitud aproximadamente de 290 mts</t>
  </si>
  <si>
    <t>SANTIAGO SAAVEDRA MARTINEZ</t>
  </si>
  <si>
    <t>KR 18C 118 22 AP 403</t>
  </si>
  <si>
    <t>Orden Solucionada
MDM-FIBRA-020051767
Se instalan 41 MTRS de drop de baja fricción desde la Furukawa asignada ubicada en sótano al strip telefónico, pasamos por 2 cajas de paso en techo, subimos al piso 2 por ducto principal hasta el piso 4 , ingresamos por ducto de telefonía hasta la toma principal en el hall de las habitaciones .se válidan las demás tomas de teléfono y hay viabilidad para pasar un cable UTP hasta el estudio donde usuario solicita el punto periférico. No se generan daños ni pérdidas durante la instalacion. Tecnico edwin diaz</t>
  </si>
  <si>
    <t>CC-1019137683</t>
  </si>
  <si>
    <t>MDM-FIBRA-019928616</t>
  </si>
  <si>
    <t>MDM-FIBRA-020057230</t>
  </si>
  <si>
    <t>MDM-FIBRA-020052988</t>
  </si>
  <si>
    <t>MDM-FIBRA-020042519</t>
  </si>
  <si>
    <t>MDM-FIBRA-020041191</t>
  </si>
  <si>
    <t>MDM-FIBRA-020040252</t>
  </si>
  <si>
    <t>MDM-FIBRA-020053402</t>
  </si>
  <si>
    <t>MDM-FIBRA-020032029</t>
  </si>
  <si>
    <t>MDM-FIBRA-020070340</t>
  </si>
  <si>
    <t>MDM-FIBRA-020069299</t>
  </si>
  <si>
    <t>MDM-FIBRA-019974355</t>
  </si>
  <si>
    <t>MDM-FIBRA-019982619</t>
  </si>
  <si>
    <t>MDM-FIBRA-020067581</t>
  </si>
  <si>
    <t>MDM-FIBRA-019986949</t>
  </si>
  <si>
    <t>CC-36642099</t>
  </si>
  <si>
    <t>MARIA LOILANES HERRERA TALLES</t>
  </si>
  <si>
    <t>KR 98 2 32 ET 2 IN 17 AP 301</t>
  </si>
  <si>
    <t>Escalar orden ya que no pasa la Sonda desde el nap asignado a la caja de distribución</t>
  </si>
  <si>
    <t>Orden Solucionada
HILADO
MDM-FIBRA-019928616
Se llega a predio, se habla con el usuario el cual autoriza realizar validación, se evidencia ducteria telefonica obstruida, se busca ruta por toma de tv. Se aplica jabón líquido, agua caliente y se realizan varias pescas. Se tiende hilado desde la NAP, pasando por caja de paso peatonal (Canalizado),  ingresa a bloque por caja de paso mural principal. Se lleva por 3 cajas mas de paso mural subiendola piso a piso hasta el 3. Se ingresa a predio por toma de tv en alcoba trasera y se deja en punto requerido por el cliente. No se generan daños ni pérdidas durante la instalacion. Tecnico Cesar hernandez</t>
  </si>
  <si>
    <t>CC-1022954891</t>
  </si>
  <si>
    <t>YURLEY PAOLA ALVAREZ PINILLA</t>
  </si>
  <si>
    <t>CL 71A SUR 82 20 TO 8 AP 402</t>
  </si>
  <si>
    <t>nos encontramos realizando la respectiva instalación pero la sonda no apasa</t>
  </si>
  <si>
    <t>*Orden Solucionada*
MDM-FIBRA-020057230
Se ingresa al cliente, se validan tomas telefónicas y caja de distribución en pasillo, se realiza sondeo de ductos se logra pasar la sonda. Se realiza el tendido de fibra óptica desde el punto requerido por el cliente saliendo a la caja de distribución en pasillo y posteriormente llegando al primer piso donde se encuentra la CT asignada. Se gastan  25 mts de F.O de baja fricción. No se generan daños ni pérdidas durante la instalacion. Tecnico fredy corredor</t>
  </si>
  <si>
    <t>CC-52544799</t>
  </si>
  <si>
    <t>MARIA EVA VALBUENA SUA</t>
  </si>
  <si>
    <t>CL 68A SUR 48D 26 AP 405</t>
  </si>
  <si>
    <t>MDM-FIBRA-020052988
Cuadrilla en predio, se marca a contacto, cliente indica que despues se comunica, no sabe cuando pueda recibir.</t>
  </si>
  <si>
    <t>KENNETH GARRETT PULIDO</t>
  </si>
  <si>
    <t>CL 145 85 80 TO 4 AP 613</t>
  </si>
  <si>
    <t>Orden Solucionada
MDM-FIBRA-020042519
Se instalan 17 mtrs de drop de baja fricción desde la caja de paso ubicada en piso 5,  enviamos el drop por toma de TV hasta la toma de la sala .se evidencia cableado existente para punto periférico en alcoba principal, hay dos habitaciones sin tomas de TV y teléfono ambas tomas se encuentran con viabilidad para el servicio. No se generan daños ni pérdidas durante la instalacion. Tecnico edwin diaz</t>
  </si>
  <si>
    <t>Aplazamiento
MDM-FIBRA-020047971
Cuadrilla en predio, se marca a contacto, cliente solicita reprogramar para el dia 14-08 debido a una calamidad.</t>
  </si>
  <si>
    <t>CC-1000787690</t>
  </si>
  <si>
    <t>LINA MARIA CALDERON GUARACA</t>
  </si>
  <si>
    <t>KR 87D 48 03 SUR CA 238</t>
  </si>
  <si>
    <t>Escalar orden ya que no pasa la Sonda de la última caja de paso hasta el predio</t>
  </si>
  <si>
    <t>Orden Solucionada
MDM-FIBRA-020041191
Se llega a predio, se habla con el usuario, se realiza validación y se busca la ruta desde la nap asignada hasta el predio, se pasa por ductería existente,  Se deja fibra  en punta en la nap y de alli hasta donde se va a dejar el punto.  Se gastan 80 mts de drop de baja fricción. No se generan daños ni pérdidas durante la instalacion. Tecnico Jesus silva</t>
  </si>
  <si>
    <t>CC-1013608099</t>
  </si>
  <si>
    <t>SANDRA NATHALIE JIMENEZ TORRES</t>
  </si>
  <si>
    <t>DG 49A BIS A SUR 13J 91 TO 3 AP 1825</t>
  </si>
  <si>
    <t>l ducto que comunica de la caja de paso a la toma principal se encuentra obstruido sonda no paso</t>
  </si>
  <si>
    <t>Aplazamiento
MDM-FIBRA-020040252
Cuadrilla en predio, cliente solicita reprogramara para el dia 14-08 en am , hoy no puede atender</t>
  </si>
  <si>
    <t>CC-52839595</t>
  </si>
  <si>
    <t>ANGELA LILIANA CONTRERAS RODRIGUEZ</t>
  </si>
  <si>
    <t>CL 71 SUR 102 51 ET 3B CA 143</t>
  </si>
  <si>
    <t>observación: Se evidencia que la ductería esta obstruida, no pasa sonda</t>
  </si>
  <si>
    <t>MDM-FIBRA-020053402
No contactado
Cuadrilla en predio, se marca a contactos sin respuesta, seguridad indica que no responden</t>
  </si>
  <si>
    <t>CC-29814253</t>
  </si>
  <si>
    <t>MARIA DIVA ORTIZ ORTIZ</t>
  </si>
  <si>
    <t>KR 52 19 40 SUR IN 31</t>
  </si>
  <si>
    <t>rop a nap, por cajas de fachada, se evidencia ductos desempatados, cables no se mueven, clar</t>
  </si>
  <si>
    <t>Aplazamiento
MDM-FIBRA-020032029
Cuadrilla en predio, se marca a contacto, cliente solicita reprogramar para el dia 14-08 en am</t>
  </si>
  <si>
    <t>CC-1006532870</t>
  </si>
  <si>
    <t>MARYURY DAYANA SALAZAR ACOSTA</t>
  </si>
  <si>
    <t>CL 138 57 86 BQ 1 AP 601</t>
  </si>
  <si>
    <t>*Orden No viable*
MDM-FIBRA-020070340
Se realiza validación para tendido se evidencia que reformaron la cocina taparon la toma de teléfono y citofono este sale por perforacion en el muro y no hay de teléfono,  validamos las tomas del predio y se evidencia que no hay comunicación con la caja de paso ya que la sonda no sale por ningún ducto, en las habitaciones no se evidencian mas tomas por lo tanto no se puede instalar el drop; por fachada esta solo comunica al primer piso no hay como bajar el cable al sótano. hay red de claro pero está ingresa por fachada por la cocina y un agujero en el muro para salir al hall de habitaciones .administración no permite cableados por areas comunes. No se generan daños ni pérdidas durante la validacion. autoriza supervisor Yeison martinez.</t>
  </si>
  <si>
    <t>CC-14942537</t>
  </si>
  <si>
    <t>INDULFO REDIN ARAUJO</t>
  </si>
  <si>
    <t>CL 37 BIS SUR 68F 51</t>
  </si>
  <si>
    <t>*Orden Solucionada*
MDM-FIBRA-020069299
Se realiza validacion y sondeo, las cajas de paso no tienen comunicación con la salida hacia la fachada, se envía por perforación realizada hasta llegar a nap asignada. En predio se deja donde es requerido. Se gastan 60 Mts F8- 02 Tensores. No se generan daños ni pérdidas durante la instalacion. Tecnico luis hoyos</t>
  </si>
  <si>
    <t>60 f8</t>
  </si>
  <si>
    <t>CC-1015406237</t>
  </si>
  <si>
    <t>DANY MAURICIA GUACARI LEYTON</t>
  </si>
  <si>
    <t>CL 39H BIS SUR 68G 29</t>
  </si>
  <si>
    <t>*Orden Solucionada*
MDM-FIBRA-019974355
Se ingresa al cliente y se valida que no se encuentran tomas telefónicas, caja de distribución se válida ruta saliendo por fachada. se realiza  tendido de fibra óptica desde el punto requerido por el cliente saliendo a la fachada y posteriormente llegando al poste donde se encuentra la nap. Se gastan 60 mts de F.O f8 2 herrajes de retención F.O 1 hilo aérea. No se generan daños ni pérdidas durante la instalacion. Tecnico fredy corredor</t>
  </si>
  <si>
    <t>CC-1024528615</t>
  </si>
  <si>
    <t>JESICA JOANA ALFONSO GARZON</t>
  </si>
  <si>
    <t>KR 69 1 35 SUR</t>
  </si>
  <si>
    <t>se encontro obstruccion, no pasa sonda</t>
  </si>
  <si>
    <t>*Orden Cancelada*
MDM-FIBRA-019982619
cuadrilla en predio, cliente indica que decidico cancelar el servicio.</t>
  </si>
  <si>
    <t>CC-1109265943</t>
  </si>
  <si>
    <t>PLINIO SERRANO FORERO</t>
  </si>
  <si>
    <t>DG 34 SUR 68C 12 MJ 4</t>
  </si>
  <si>
    <t>*Orden Solucionada*
MDM-FIBRA-020067581
Se realiza validacion, se ingresa por perforación para salir a fachada, desde la fachada se ancla y se lleva directamente hacia la nap asignada. En predio predio se deja donde es requerido. Se gastan 55Mts F8 02 Herrajes.  No se generan daños ni pérdidas durante la instalacion. Tecnico luis hoyos</t>
  </si>
  <si>
    <t>55F8</t>
  </si>
  <si>
    <t>CC-1023912575</t>
  </si>
  <si>
    <t>JULIE ESMERALDA GORDILLO GAONA</t>
  </si>
  <si>
    <t>DG 51A SUR 25 63 PI 3</t>
  </si>
  <si>
    <t>*Orden Solucionada*
MDM-FIBRA-019986949
Se llega a predio, se habla con el usuario, se realiza validación y se busca la ruta desde la nap asignada hasta el predio. Se pasa por vía aérea  existente,  Se deja fibra  en punta en la nap y de alli hasta donde se va a dejar el punto. No se generan daños ni pérdidas durante la instalacion. Tecnico Jesus silva</t>
  </si>
  <si>
    <t>MDM-FIBRA-020064571</t>
  </si>
  <si>
    <t>MDM-FIBRA-019901194</t>
  </si>
  <si>
    <t>MDM-FIBRA-020057167</t>
  </si>
  <si>
    <t>MDM-FIBRA-020072367</t>
  </si>
  <si>
    <t>MDM-FIBRA-020031447</t>
  </si>
  <si>
    <t>MDM-FIBRA-019971904</t>
  </si>
  <si>
    <t>MDM-FIBRA-020038506</t>
  </si>
  <si>
    <t>MDM-FIBRA-020064129</t>
  </si>
  <si>
    <t>MDM-FIBRA-020075350</t>
  </si>
  <si>
    <t>MDM-FIBRA-020035915</t>
  </si>
  <si>
    <t>MDM-FIBRA-020074760</t>
  </si>
  <si>
    <t xml:space="preserve">*Orden Solucionada*
MDM-FIBRA-020029788
Se llega a predio, se habla con el usuario el cual autoriza realizar validación. Se evidencia ducteria telefonica obstruida, se busca ruta por toma de tv, se aplica jabón líquido y agua caliente dentro del predio y en caja de paso de pasillo. Se tiende fibra desde la PDP que queda en piso 7,  sube a piso 8,  ingresa a predio por toma principal de la sala y se deja en punto requerido. Se gastan 30 mts de Baja Fricción. No se generan daños ni pérdidas durante la instalacion. Tecnico cesar hernandez	</t>
  </si>
  <si>
    <t>NIT-901615666</t>
  </si>
  <si>
    <t>SERVII GROUP SAS</t>
  </si>
  <si>
    <t>CL 65 11 34 OF 302A</t>
  </si>
  <si>
    <t>Se valida ingreso a oficina 301A   existe un cable múltiple como referencia pero no no se deja retirar , la sonda ingresa de 5 a 6 metros desde ambas entradas del ducto.</t>
  </si>
  <si>
    <t>*Orden Solucionada*
MDM-FIBRA-020064571
Se instalan 18 mtrs de drop de baja fricción desde la caja de paso por ducto de telefonía enviamos  el drop hasta la toma principal donde usuario solicita el servicio. se válida otra toma en el mismo lugar pero los cables existentes no se mueven. No se generan daños ni pérdidas durante la instalacion. Tecnico edwin diaz</t>
  </si>
  <si>
    <t>MDM-FIBRA-020057622
NO CONTACTADO
Cuadrilla en predio,  via citofono cliente indico que cancelo el servicio, se marca a contacto sin respuesta.</t>
  </si>
  <si>
    <t>MDM-FIBRA-020047971
No contactado
Cuadrilla en predio, seguridad indica que no tiene contacto con cliente, se realiza marcado, sin respuesta.</t>
  </si>
  <si>
    <t>PPT-856764</t>
  </si>
  <si>
    <t>MILEIDY CONTRERAS PICON</t>
  </si>
  <si>
    <t>CL 7 90 76 CA 137</t>
  </si>
  <si>
    <t>alidación en la cual se encuentra obstrucción de nap a predio pasando por dos cdp</t>
  </si>
  <si>
    <t>Orden Solucionada
HILADO
MDM-FIBRA-019901194
Se llega a predio, se habla con el usuario, se realiza validación, se busca la ruta desde  NAP PRECONECTORIZADA  hasta el predio en sitio indicado. No se generan daños ni pérdidas durante la instalacion. Tecnico Jesus silva.</t>
  </si>
  <si>
    <t>CC-13748281</t>
  </si>
  <si>
    <t>VLADIMIR CATAÑO GUTIERREZ</t>
  </si>
  <si>
    <t>CL 73 0 16 ESTE TO 1 AP 301</t>
  </si>
  <si>
    <t>Orden Solucionada
MDM-FIBRA-020057167
Se instalan 25 mtrs de drop de baja fricción desde la caja de paso con disponibilidad en piso 2, subimos al piso 3 enviamos el drop hasta la toma principal en la cocina, luego por otro ducto hasta la toma de la sala donde dejamos la reserva en este punto indicado por el usuario. Si solicitan puntos periféricos se debe pasar  por toma de la sala al cuarto principal y de allí deben perfilar los UTP según usuario. No se generan daños ni pérdidas durante la instalacion. Tecnico edwin diaz.</t>
  </si>
  <si>
    <t>Orden No viable
MDM-FIBRA-020032029
Se erealiza validacion y sondeo desde caja de telefonica, se envía sonda saliendo a caja de paso en fachada, en la caja fachada se evidencia 4 ductos para cuatro casas, y se debe cruzar 2 casas para encontrar la siguiente caja de paso, pero esta se encuentra dentro de la casa 35 no autorizan el ingreso, el administrador del conjunto nos indica que algunas cajas de paso fueron tapadas y algunas quedaron dentro de los predio. No se generan daños ni pérdidas durante la validacion. autoriza supervisor Yeison martinez.</t>
  </si>
  <si>
    <t>*Orden Solucionada*
MDM-FIBRA-020040252
Se realiza validacion y sondeo desde caja telefonica, se  evidencia cable coaxial del servicio claro, se pasa a la siguiente caja ubicada donde va la lavadora, se continua desde la 2 caja de paso hacia caja de paso en pasillo, desde ese piso sube hacia el piso 19 donde se encuentra la Furukawa. 
En predio se deja donde es requerido. Se gastan 25Mts Baja Friccion. No se generan daños ni pérdidas durante la instalacion. Tecnico Luis hoyos</t>
  </si>
  <si>
    <t>CC-52539849</t>
  </si>
  <si>
    <t>ADRIANA MERCEDES JIMENEZ AVILA</t>
  </si>
  <si>
    <t>CL 71 SUR 102 51 CA 200</t>
  </si>
  <si>
    <t>obstrucción entre cajas de paso externas del predio</t>
  </si>
  <si>
    <t>MDM-FIBRA-020072367
No contactado
Cuadrilla en predio, se marca a contacto numero apagado, se golpea nadie sale.</t>
  </si>
  <si>
    <t>CC-24138351</t>
  </si>
  <si>
    <t>LUZ BELLA GUTIERREZ SALDAÑA</t>
  </si>
  <si>
    <t>DG 62 SUR 20A 42 CA 55</t>
  </si>
  <si>
    <t>se llega a predio donde taparon la toma telefónica obstruida</t>
  </si>
  <si>
    <t>Orden Solucionada
MDM-FIBRA-020031447
Se ingresa al cliente, se evidencia que no se encuentra toma telefónica,  en remodelaciones la dejaron tapada se identifica punto y se hace perforación por petición del cliente y y se encuentra la entrada. Se realiza tendido de fibra óptica desde el punto requerido por el cliente saliendo a la caja de distribución en fachada y posteriormente pasando por dos cajas de distribución en anden llegando a la caja donde se encuentra la nap asignada. Se gastan 50 mts de F.O de baja fricción. No se generan daños ni pérdidas durante la instalacion. Tecnico fredy corredor.</t>
  </si>
  <si>
    <t>CC-1015393578</t>
  </si>
  <si>
    <t>ELIZABETH AVILA JIMENEZ</t>
  </si>
  <si>
    <t>CL 151 111A 25 CA 98</t>
  </si>
  <si>
    <t xml:space="preserve"> Por favor escalar 1502 se valida ruta de acceso a predio presenta obstrucción la sonda no pasa se requiere cuadrilla de quiebre</t>
  </si>
  <si>
    <t>Orden Solucionada
MDM-FIBRA-019971904
Se llega a predio, se habla con el usuario el cual autoriza realizar validación. se evidencia ducteria telefonica obstruida, se busca ruta por toma de tv. se aplica jabón líquido y agua caliente dentro del predio y en cajas de paso mural y se realizan varias pescas. se tiende fibra desde la nap, pasando por 3 cajas de paso peatonal (canalizado) y 2 murales.  ingresa a predio por toma principal de la sala, sube a alcoba en piso 2 y se deja en punto requerido. se gastan 80 mts de baja fricción. No se generan daños ni pérdidas durante la instalacion. Tecnico cesar hernandez</t>
  </si>
  <si>
    <t>CC-79946546</t>
  </si>
  <si>
    <t>ENRIQUE BARONA MONROY</t>
  </si>
  <si>
    <t>KR 20 40 40 AP 212</t>
  </si>
  <si>
    <t>obstrucción toma principal a caja de pasillo, sin cables, sonda tranca, tubo desempatado, sin operador, no aceptan cables por fuera</t>
  </si>
  <si>
    <t>Orden Solucionada
MDM-FIBRA-020038506
Se instalan 25 mtrs de drop de baja fricción desde la caja de paso enviamos el drop por ducto principal hacia una caja de paso en techo,  luego pasamos a una caja de paso dentro del predio y de esta caja por tubo de telefonía hasta la toma  principal donde usuario solicita el servicio. No se generan daños ni pérdidas durante la instalacion. Tecnico edwin diaz</t>
  </si>
  <si>
    <t>CC-1018491212</t>
  </si>
  <si>
    <t>JUAN CAMILO MARIN CALA</t>
  </si>
  <si>
    <t>CL 25B 70B 50 TO 6 AP 302</t>
  </si>
  <si>
    <t>se validacion encontrando obstruccion</t>
  </si>
  <si>
    <t>*Orden Solucionada*
MDM-FIBRA-020064129
Se llega a predio, se habla con el usuario, se realiza validación y se busca la ruta desde la nap asignada hasta el predio. se extiende fibra desde la nap, se pasa por vertical hasta el  punto requerido por el cliente. No se generan daños ni pérdidas durante la instalacion. Tecnico jesus silva</t>
  </si>
  <si>
    <t>CC-1102386951</t>
  </si>
  <si>
    <t>MERLY JOHANA GUIZA PEREZ</t>
  </si>
  <si>
    <t>CL 41B SUR 2A 15 ESTE</t>
  </si>
  <si>
    <t>en la viabilidad que se evidenció y desde la nap asignada,se debe realizar un tendido de manera aérea pero excede la distancia máxima permitida por la interventoria de ETB,para este caso tiene una longitud aproximadamente de 290 mts,hay más nap's pero torre de diseño informa que se encuentra al 100% de su ocupación</t>
  </si>
  <si>
    <t>No viable/en la viabilidad que se evidenció y desde la nap asignada,se debe realizar un tendido de manera aérea pero excede la distancia máxima permitida por la interventoria de ETB,para este caso tiene una longitud aproximadamente de 290 mts,hay más nap's pero torre de diseño informa que se encuentra al 100% de su ocupación</t>
  </si>
  <si>
    <t>CC-1074928758</t>
  </si>
  <si>
    <t>MARIBEL MORENO ORJUELA</t>
  </si>
  <si>
    <t>CL 42F SUR 94A 10</t>
  </si>
  <si>
    <t>realiza validación en la cual no es posible ingresar la fibra debido a que no hay acometida interna para llegar hasta el apto de la parte de atrás</t>
  </si>
  <si>
    <t>No viable//realiza validación en la cual no es posible ingresar la fibra debido a que no hay acometida interna para llegar hasta el apto de la parte de atrás</t>
  </si>
  <si>
    <t>CC-79911021</t>
  </si>
  <si>
    <t>ALEJANDRO FERNANDEZ CASTELLANOS</t>
  </si>
  <si>
    <t>CL 10 27 63 NV 3 LC 1</t>
  </si>
  <si>
    <t>Orden no se puede realizar ya que la instalación se debería sacar de la nap y enviarla por los pasillos,se le da la ruta al cliente pero solicita permiso en la administración y no le permiten enviar la fibra así,no hay más rutas</t>
  </si>
  <si>
    <t>No viable/Orden no se puede realizar ya que la instalación se debería sacar de la nap y enviarla por los pasillos,se le da la ruta al cliente pero solicita permiso en la administración y no le permiten enviar la fibra así,no hay más rutas</t>
  </si>
  <si>
    <t>MDM-FIBRA-020057939</t>
  </si>
  <si>
    <t>MDM-FIBRA-020077306</t>
  </si>
  <si>
    <t>MDM-FIBRA-020052524</t>
  </si>
  <si>
    <t>MDM-FIBRA-020024168</t>
  </si>
  <si>
    <t>MDM-FIBRA-019981684</t>
  </si>
  <si>
    <t>MDM-FIBRA-020057885</t>
  </si>
  <si>
    <t>MDM-FIBRA-020078922</t>
  </si>
  <si>
    <t>MDM-FIBRA-020052605</t>
  </si>
  <si>
    <t>MDM-FIBRA-020028702</t>
  </si>
  <si>
    <t>MDM-FIBRA-019954122</t>
  </si>
  <si>
    <t>MDM-FIBRA-020074283</t>
  </si>
  <si>
    <t>MDM-FIBRA-020077294</t>
  </si>
  <si>
    <t>Orden Cancelada
MDM-FIBRA-019975350
Cuadrilla en predio se marca a contacto cliente NUVIA BRAVO HERNADEZ indica que decidio cancelar el servicio, no da mas informacion.</t>
  </si>
  <si>
    <t>Orden Solucionada
MDM-FIBRA-020018196
Se realiza validacion y sondeo desde caja telefonica, hacia el pasillo no hay caja de paso, los ductos van directos hasta la fachada, hasta llegar a la caja desde la caja fachada se lleva hasta la nap asignada. Se gastan 60Mts F8- 02 Tensores. No se generan daños ni pérdidas durante la instalacion. Tecnico luis hoyos</t>
  </si>
  <si>
    <t>CC-1026575759</t>
  </si>
  <si>
    <t>EDUARDO SEBASTIAN TOQUICA PEREZ</t>
  </si>
  <si>
    <t>KR 27 29A 85 SUR AP 1002</t>
  </si>
  <si>
    <t>no se puede ejecutar ya que encontramos que la ducteria se encuentra obstruida no pasa la dónde no del apartamento a la caja de paso y lo mismo de la caja de paso al apartamento</t>
  </si>
  <si>
    <t>*Orden Solucionada*
MDM-FIBRA-020057939
Se realiza validacion y sondeo desde caja telefonica, se pasa hacia caja de distribución, hasta llegar a caja de paso en el pasillo donde se encuentra la PDP de piso.  En predio se deja donde es requerido. Se gastan 25 Mts Baja Friccion. No se generan daños ni pérdidas durante la instalacion. Tecnico luis hoyos</t>
  </si>
  <si>
    <t>CC-93288893</t>
  </si>
  <si>
    <t>JORGE ELIECER PEREZ GUTIERREZ</t>
  </si>
  <si>
    <t>KR 94F 133A 49 AP 312</t>
  </si>
  <si>
    <t>Orden Solucionada
MDM-FIBRA-020077306
Se llega a predio, se habla con el usuario el cual autoriza realizar validación. no se evidencia tomas dentro del apartamento de ningún tipo. se busca ruta alterna por fachada. se tiende fibra desde la nap, pasando por 6 cajas de paso peatonal (canalizado) y 3 murales; sube y se ancla en bloque anterior, se pasa por poste de apoyo ínterno, se ancla a fachada del cliente, se ingresa por perforación realizada y se deja en punto requerido. Se gastan 100 mts de Baja Fricción  4 Herrajes. No se generan daños ni pérdidas durante la instalacion. Tecnico cesar hernandez</t>
  </si>
  <si>
    <t>CC-1020819776</t>
  </si>
  <si>
    <t>DIEGO ESCOBAR DIAZ</t>
  </si>
  <si>
    <t>KR 2 ESTE 70A 50 AP 201</t>
  </si>
  <si>
    <t>*Orden No viable*
MDM-FIBRA-020052524
Realizamos validación de ruta para tendido, se evidencio que la toma principal estaba oculta debajo de un mueble al sondear esta presenta obstrucción a 30 cmtrs y de la caja de paso hacia adentro ingresan aproximadamente 10 MTRS se escucha cerca de salir pero la obstrucción no lo permite; por citofono también la sonda ingresan 10 MTRS y no sale y en la caja se evidencia que el tubo tiene piedras y no salen. cables existentes no se mueven .no hay caja de TV en pasillo va interna compartida con otros predios no hay canaletas por fachada .usuario debe realizar una obra civil en la toma principal y desbloquear el ducto para poder instalar .No se generan daños ni pérdidas durante la validacion. autoriza supervisor delmard abrill.</t>
  </si>
  <si>
    <t>CC-51815991</t>
  </si>
  <si>
    <t>DIANA ROCIO TORRES HERNANDEZ</t>
  </si>
  <si>
    <t>TV 3 85 10 ET 3 AP 606</t>
  </si>
  <si>
    <t>MDM-FIBRA-020024168
No se finaliza labores, persona encargada indica que debe salir, no da nueva fecha para visita.  Se marca a contactos de titular sin respuesta</t>
  </si>
  <si>
    <t>CC-1117551074</t>
  </si>
  <si>
    <t>YUBELY BASTIDAS QUINTERO</t>
  </si>
  <si>
    <t>DG 49 SUR 86 40 CA 329</t>
  </si>
  <si>
    <t>Aplazamiento
MDM-FIBRA-019981684
Cuadrilla en predio, se marca a contacto sra YUBELY BASTIDAS indica que esta laborando, no puede atender el dia de hoy, solicita reprogramar para el dia martes 18/08 en am</t>
  </si>
  <si>
    <t>CC-1023017451</t>
  </si>
  <si>
    <t>JEIMI HASBLEYDI ACUÑA CRUZ</t>
  </si>
  <si>
    <t>TV 63 68B 92 SUR BQ 1 CA 5B</t>
  </si>
  <si>
    <t>Orden Solucionada
MDM-FIBRA-020057885
Se llega a predio, se habla con el usuario, se realiza validación y se busca la ruta desde la nap asignada, se pasa por 2 cámaras hasta el predio dejando en sitio indicado.  se gastan 65 MTS de fibra de baja fricción. No se generan daños ni pérdidas durante la instalacion. Tecnico jesus silva</t>
  </si>
  <si>
    <t>CC-1079263111</t>
  </si>
  <si>
    <t>CARMEN ELENA URREGO HIDALGO</t>
  </si>
  <si>
    <t>KR 114 148 65 IN 1 AP 402</t>
  </si>
  <si>
    <t>Se evidencia que la ducteria esta tapada y no pasa sonda</t>
  </si>
  <si>
    <t>Aplazamiento
MDM-FIBRA-020078922
Se llega a predio, se realiza validación de ruta desde la Furukawa hasta punto principal del cliente. Usuario no puede atender más y pide reagendar para el Martes 18/08/2026 8 AM. No se generan daños ni pérdidas durante la validacion.</t>
  </si>
  <si>
    <t>CC-52444465</t>
  </si>
  <si>
    <t>JINETH RODRIGUEZ CALVO</t>
  </si>
  <si>
    <t>KR 95 72 46 SUR CA 68</t>
  </si>
  <si>
    <t>No pasa sonda se requiere cuadrilla especializada</t>
  </si>
  <si>
    <t xml:space="preserve">*Orden Solucionada*
MDM-FIBRA-020052605
Se ingresa al cliente, se validan tomas telefónicas y caja de distribución en anden, Se realiza
tendido de fibra óptica desde el punto requerido por el cliente saliendo a la caja CPD donde se encuentra la nap asignada. Se gastan 35 MTS de F.0 de baja fricción. No se generan daños ni pérdidas durante la instalacion. Tecnico fredy corredor
</t>
  </si>
  <si>
    <t>PA-X00167016</t>
  </si>
  <si>
    <t>MATHEW WINSLOW</t>
  </si>
  <si>
    <t>CL 93 17 23 AP 608</t>
  </si>
  <si>
    <t>Los ductos están libre pero la sonda no ingresa  hacian el apto  y tampoco en sentido contrario . Se evidencia cables coaxiales cortados los cuales tampoco se pueden ratitas</t>
  </si>
  <si>
    <t>Orden Solucionada
MDM-FIBRA-020028702
Se instalan 15 mtrs de drop de baja fricción desde la caja de paso por ducto de telefonía, enviamos el drop hasta la caja de paso dentro del apartamento, hasta la toma donde usuario solicita el servicio; para punto periférico en la sala tecnico debe devolverse por la toma de teléfono hasta la caja de paso y revisar los demás puntos hacia la sala. No se generan daños ni pérdidas durante la instalacion. Tecnico edwin diaz</t>
  </si>
  <si>
    <t>CC-55057153</t>
  </si>
  <si>
    <t>MYRIAM JOVEN RODRIGUEZ</t>
  </si>
  <si>
    <t>CL 54C SUR 86B 21 CA 42</t>
  </si>
  <si>
    <t>Se envía sonda lo cual la primera comunicación es un aproximado de 26 metros la sonda nos alcanza a pasar Masómenos unos 20 metros pero no da más por el tubo pasa cable de la casa 41 y casa 42 el cliente cuenta con Movistar</t>
  </si>
  <si>
    <t>Orden Solucionada
MDM-FIBRA-019954122
Se ingresa al cliente , se validan tomas telefónicas y caja de distribución en fachada se realiza sondeo. Se realiza tendido de fibra óptica desde el punto requerido por el cliente saliendo a la caja de distribución en fachada y posteriormente pasando por tres cajas más en anden llegando a la caja CPS donde se encuentra la nap asignada. Se gastan 70 mts de F.O de baja fricción. No se generan daños ni pérdidas durante la instalacion. Tecnico fredy corredor</t>
  </si>
  <si>
    <t>Escalar oden ya que se presenta obstrucción entre la caja de distribución del primer piso hasta la CTO asignada en el segundo piso</t>
  </si>
  <si>
    <t>Gestionada Orden No viable
MDM-FIBRA-019874385
Se llega a predio, se habla con el usuario el cual autoriza realizar validación, se evidencia ducteria telefónica obstruida, se busca ruta por toma de tv, se aplica jabón líquido y agua caliente dentro del predio y  se logra hilar solo de predio a salida de caja de pasillo. Nap se encuentra piso 2, pero la caja de codensa dentro del bloque está tapada baldosin. se trata de de realizar un devuelto con cable que se encontro  pero no se logro pasar, la trasabilidad del 2 piso de caja de paso a caja de paso 1 ya que no es línea y toca si ó si abrir caja de codensa.  no se encuentran más rutas viables. No se generan daños ni pérdidas durante la validacion. autoriza supervisor yeison martinez.</t>
  </si>
  <si>
    <t>CC-52734833</t>
  </si>
  <si>
    <t>SANDRA MILENA RUIZ CASAS</t>
  </si>
  <si>
    <t>KR 73F 60A 40 SUR IN 9 AP 204</t>
  </si>
  <si>
    <t>*Orden No viable*
MDM-FIBRA-020074283
Cuadrilla en predio,  se realiza validación desde el predio,  se llega directamente a dos cámaras codensas y desde alli  hasta  cámara de movistar y de ahí se va por todas las cámaras hasta llegar a la nap, adicional tendido excede el metraje autorizado. la nap asignada es preconectorizada. No se generan daños ni pérdidas durante la validacion. autoriza supervisor delmard abril.</t>
  </si>
  <si>
    <t>CC-1007438966</t>
  </si>
  <si>
    <t>JOSE ROBERTO RODRIGUEZ ALVAREZ</t>
  </si>
  <si>
    <t>KR 7 ESTE 36H 36 SUR PI 2</t>
  </si>
  <si>
    <t xml:space="preserve"> no se puede realizar ya que no tenemos acceso hacia el apartamento es una casa bastante grande con varios apartamentos la única llegada sería por encima de un techo lo cual no estamos autorizados y no tiene seguridad ya que se pueden causar daños o un accidente del tecnico</t>
  </si>
  <si>
    <t>No viable// no se puede realizar ya que no tenemos acceso hacia el apartamento es una casa bastante grande con varios apartamentos la única llegada sería por encima de un techo lo cual no estamos autorizados y no tiene seguridad ya que se pueden causar daños o un accidente del tecnico</t>
  </si>
  <si>
    <t>CC-1235249710</t>
  </si>
  <si>
    <t>NIT-900748517</t>
  </si>
  <si>
    <t>SI</t>
  </si>
  <si>
    <t>NO</t>
  </si>
  <si>
    <t>MDM-FIBRA-020069546</t>
  </si>
  <si>
    <t>MDM-FIBRA-020022524</t>
  </si>
  <si>
    <t>MDM-FIBRA-020067643</t>
  </si>
  <si>
    <t>MDM-FIBRA-020071338</t>
  </si>
  <si>
    <t>MDM-FIBRA-020057352</t>
  </si>
  <si>
    <t>MDM-FIBRA-019823014</t>
  </si>
  <si>
    <t>MDM-FIBRA-020067543</t>
  </si>
  <si>
    <t>MDM-FIBRA-020040225</t>
  </si>
  <si>
    <t>MDM-FIBRA-020072831</t>
  </si>
  <si>
    <t>MDM-FIBRA-020054628</t>
  </si>
  <si>
    <t>MDM-FIBRA-020072725</t>
  </si>
  <si>
    <t>MDM-FIBRA-020077568</t>
  </si>
  <si>
    <t>MDM-FIBRA-020068388</t>
  </si>
  <si>
    <t>MDM-FIBRA-020082878</t>
  </si>
  <si>
    <t>CC-1098657505</t>
  </si>
  <si>
    <t>FAVIAN ANDRES MORA HERNANDEZ</t>
  </si>
  <si>
    <t>KR 95A 136 47 IN 13 AP 201</t>
  </si>
  <si>
    <t>Aplazamiento
MDM-FIBRA-020069546
Cuadrilla en predio, se marca a contacto, cliente indcia que no puede atender, solicita reprogramar para el dia 19-08 en am</t>
  </si>
  <si>
    <t>CC-14979173</t>
  </si>
  <si>
    <t>FEDERICO RODRIGUEZ MORAN</t>
  </si>
  <si>
    <t>KR 48 150A 40 IN 15 AP 302</t>
  </si>
  <si>
    <t>Orden Solucionada
MDM-FIBRA-020022524
Se llega a predio, se habla con el usuario, se realiza validación y sondeo , se encontro obstruccion, se logra pasar lubricando ducteria, se realiza tendido desde la nap asignada, se pasa por 1 caja de paso que se encuentra en frente del apto 302 y 2 tomas del predio dejando en sitio indicado. se gastan 30 MTS de fibra de baja fricción. No se generan daños ni pérdidas durante la instalacion. Tecnico Jesus silva</t>
  </si>
  <si>
    <t>CC-1024525584</t>
  </si>
  <si>
    <t>MARIO RODOLFO ACOSTA NAVARRETE</t>
  </si>
  <si>
    <t>KR 59B BIS 128B 11 BQ 1 IN 6</t>
  </si>
  <si>
    <t>observación: Se evidencia que no hay comunicación de la caja al apartamento</t>
  </si>
  <si>
    <t>Aplazamiento
MDM-FIBRA-020067643
Cuadrilla en predio, se marca a contacto, cliente indica que no sabia de la viista, solicita reprogramar para el dia sabado 22-08 en am</t>
  </si>
  <si>
    <t>CC-52662699</t>
  </si>
  <si>
    <t>YUDY CARINE MATIZ DELGADO</t>
  </si>
  <si>
    <t>CL 71 10 48 AP 101</t>
  </si>
  <si>
    <t xml:space="preserve">*Aplazamiento*
MDM-FIBRA-020071338
Cuadrilla en predio, se marca a contacto, cliente indica que no puede atender, solicita reprogramar para el dia 19-08 en am 
</t>
  </si>
  <si>
    <t xml:space="preserve">*Aplazamiento*
MDM-FIBRA-019981684
NO se finaliza validacion, cliente indica que no puede seguir atendiendo, solicita reprogramar para el dia 22-08 en am. Se marca a contacto cliente YUBELY BASTIDAS  confirma informacion. </t>
  </si>
  <si>
    <t>CC-24187403</t>
  </si>
  <si>
    <t>MARIA OFELIA CARDOZO DE MARTINEZ</t>
  </si>
  <si>
    <t>KR 88I 52B 34 SUR TO 1 AP 501</t>
  </si>
  <si>
    <t>Ducteria obstruida no pasa sonda, se requiere cuadrilla de quiebre</t>
  </si>
  <si>
    <t>MDM-FIBRA-020057352
No contactado
Cuadrilla en predio, se marca a contacto sin respuesta, seguridad no da informacion</t>
  </si>
  <si>
    <t>CC-51959383</t>
  </si>
  <si>
    <t>MARIA INES LEMUS TORRES</t>
  </si>
  <si>
    <t>KR 19A 122 75 AP 202</t>
  </si>
  <si>
    <t>se evidencia ducteria con complejidad en obstrucción</t>
  </si>
  <si>
    <t>MDM-FIBRA-019823014
No contactado
Cuadrilla en predio, se marca a contacto sin respuesta. Seguridad indica que no nadie responde</t>
  </si>
  <si>
    <t>CC-7362822</t>
  </si>
  <si>
    <t>DEVIS GUANAY</t>
  </si>
  <si>
    <t>KR 78A 84B 53 SUR CA 116</t>
  </si>
  <si>
    <t>observación: Se evidencia que la ducteria esta tapada, no pasa sonda</t>
  </si>
  <si>
    <t>Orden No viable
MDM-FIBRA-020067543
Se ingresa al cliente, se validan tomas telefónicas y caja de distribución en fachada, se realiza sondeo de ductos y se encuentra obstrucción de la caja de fachada hacia la caja de distribución en anden a cuatro mts; se realiza sondeo de caja de distribución en anden hacia la caja en fachada y la sonda se queda a 8 MTS y no llega. Se valida ruta por fachada pero administración no permite red externa. No se generan daños ni pérdidas durante la validacion. autoriza supervisor yeison martinez.</t>
  </si>
  <si>
    <t>CC-52701656</t>
  </si>
  <si>
    <t>LUZ MARINA CAMPIÑO CORRALES</t>
  </si>
  <si>
    <t>TV 88A 73 42 SUR</t>
  </si>
  <si>
    <t>Ducteria saturada no pasa la sonda se requiere apoyo de cuadrialla</t>
  </si>
  <si>
    <t>MDM-FIBRA-020040225
No contactado
Cuadrilla en predio, se marca a contactos sin respuesta, se golpea nadie sale.</t>
  </si>
  <si>
    <t>CC-41667474</t>
  </si>
  <si>
    <t>NOHORA CONSUELO MORENO RINCON</t>
  </si>
  <si>
    <t>KR 13 116 05 AP 402</t>
  </si>
  <si>
    <t>Aplazamiento
MDM-FIBRA-020072831
Cuadrilla en predio, se marca a contacto, cliente indica que se encuentra fuera de la ciudad, solicita reprogramar para el dia 29-08 en am</t>
  </si>
  <si>
    <t>Orden Solucionada
MDM-FIBRA-020078922
Se llega a predio, se habla con el usuario el cual autoriza realizar validación, no hay comunicación de apartamento hacia pasillo, se busca ruta alterna por fachada. se tiende fibra desde la ct que queda en caja de paso de pasillo en piso 2. se baja a piso 1, se saca a entrada del bloque, se envía por 6 cajas de paso peatonal (canalizado) y 3 murales. se le da la vuelta al bloque a llegar a la parte de atrás, sube por canaleta existente, se ingresa a predio por perforación realizada, se figura por alcoba 1, se llega a cuarto de estudio y se deja en punto requerido potr el cliente. se gastan 110 mts de baja fricción. No se generan daños ni pérdidas durante la instalacion. Tecnico cesar hernandez</t>
  </si>
  <si>
    <t>CC-52906770</t>
  </si>
  <si>
    <t>MARIA ISABEL RINCÓN OSPINO</t>
  </si>
  <si>
    <t>KR 54 137 09 IN 40</t>
  </si>
  <si>
    <t xml:space="preserve"> se evidencia ducteria tapada</t>
  </si>
  <si>
    <t>Orden No viable
MDM-FIBRA-020054628
En validacion se encontro que desde toma de teléfono hay una obstrucción. Se encuentra un cable de otro operador, se intenta jalar ya que está cortado pero tampoco se mueve el cable, es un cable de figura 8 de otro operador, s elubrica ducteria, se sondeo de nuevo pero no se logra pasar. se valida citofonía pero cliente no autoriza cableado por fuera. No se generan daños ni pérdidas durante la validacion. autoriza supervisor yeison martinez.</t>
  </si>
  <si>
    <t>CC-79234543</t>
  </si>
  <si>
    <t>ANDRES RESTREPO LONDOÑO</t>
  </si>
  <si>
    <t>CL 77 7 29 AP 801</t>
  </si>
  <si>
    <t xml:space="preserve"> se valida ruta de acceso a predio se encuentra obstruccion se requiere cuadrilla de quiebre</t>
  </si>
  <si>
    <t>Orden Solucionada
MDM-FIBRA-020072725
Se instalan 60 MTRS de drop de baja fricción desde la nap asignada en sótano hasta una caja de piso en piso 2, luego subimos al piso 8 ingresamos por ducto de telefonia hasta la toma principal,  pasamos a otra toma en la sala y de esta pasamos al estudio donde usuario solicita el servicio. No se generan daños ni pérdidas durante la instalacion. Tecnico edwin diaz</t>
  </si>
  <si>
    <t>CC-1076503685</t>
  </si>
  <si>
    <t>ANDRES VALENTINO VARGAS VIUCHY</t>
  </si>
  <si>
    <t>KR 48 106A 38 AP 106</t>
  </si>
  <si>
    <t>Orden Solucionada
MDM-FIBRA-020077568
Se llega a predio, se habla con el usuario el cual autoriza realizar validación. Se evidencia ducteria obstruida, se aplica jabón líquido a las sondas y se realizan 2 pescas. Se tiende fibra desde la NAP que queda en sótano del parqueadero, se lleva por ducteria interna, pasando por 3 cajas de paso en techo y 1 mural. se ingresa a predio por toma principal de la sala y se deja en punto requerido. Se gastan 40 mts de Baja Fricción. No se generan daños ni pérdidas durante la instalacion. Tecnico cesar hernandez</t>
  </si>
  <si>
    <t>CC-1023884598</t>
  </si>
  <si>
    <t>MARIA ANDREA RODRIGUEZ JOSA</t>
  </si>
  <si>
    <t>KR 19 31F 21 SUR</t>
  </si>
  <si>
    <t>se evidencia que hay una obstrucción desde la caja de paso hacia  la caja de paso del siguiente piso , se sondea  y la sonda tranca  , se sondea viseversa  y tranca igualmente, la ruta va desde nap directamenteal apt</t>
  </si>
  <si>
    <t>Orden No viable
MDM-FIBRA-020068388
Se realiza  validacion y sondeo desde caja telefonica saleindo a caja de paso en pasillo en techo, se debe llegar a la siguiente caja de paso, un piso hacia abajo ya que en esa caja esta la salida hacia la fachada, se evidencian 2 ductos con cable en su interior, los cables no se mueven se envía sonda ingresa 3mts y no avanza más, se realizó dondeo al siguiente ducto, la sonda ingreso  2mts y no avanza más. Tal vez los ductos están suelto en techo drywall. No se generan daños ni pérdidas durante la validacion. autoriza supervisor yeison martinez.</t>
  </si>
  <si>
    <t>CC-1129484089</t>
  </si>
  <si>
    <t>NICOLLE MICHEL MIRANDA</t>
  </si>
  <si>
    <t>CL 54C SUR 86B 21 CA 74</t>
  </si>
  <si>
    <t xml:space="preserve">Se evidencia que no hay viabilidad ya que las cajas estan tapadas por remodelación </t>
  </si>
  <si>
    <t xml:space="preserve">No viable//Se evidencia que no hay viabilidad ya que las cajas estan tapadas por remodelación </t>
  </si>
  <si>
    <t>MDM-FIBRA-020084153</t>
  </si>
  <si>
    <t>MDM-FIBRA-019996011</t>
  </si>
  <si>
    <t>MDM-FIBRA-020076961</t>
  </si>
  <si>
    <t>MDM-FIBRA-019970694</t>
  </si>
  <si>
    <t>MDM-FIBRA-020078125</t>
  </si>
  <si>
    <t>MDM-FIBRA-020078607</t>
  </si>
  <si>
    <t>MDM-FIBRA-020068332</t>
  </si>
  <si>
    <t>MDM-FIBRA-020085180</t>
  </si>
  <si>
    <t>MDM-FIBRA-020069726</t>
  </si>
  <si>
    <t>MDM-FIBRA-020085841</t>
  </si>
  <si>
    <t>MDM-FIBRA-020086500</t>
  </si>
  <si>
    <t>MDM-FIBRA-020084732</t>
  </si>
  <si>
    <t>MDM-FIBRA-019960404</t>
  </si>
  <si>
    <t>MDM-FIBRA-020062477</t>
  </si>
  <si>
    <t>Orden Solucionada
MDM-FIBRA-020071338
Se instalan 40 MTRS de drop de baja fricción desde el furukawa asignada en sótano,  pasando por tres cajas en sótano para enviar por ducto hasta una entrada en el piso del sótano, subiendo al predio y por canaleta existente hasta el punto indicado por usuaria .se evidencia que hay dos operadores ETB fibra existente rota en pdp y claro ingresando por fachada. No se generan daños ni pérdidas durante la instalacion. Tecnico edwin diaz usuario solicita visita el dia de hoy</t>
  </si>
  <si>
    <t>se valida única ruta de acceso a predio presenta obstrucción</t>
  </si>
  <si>
    <t>MDM-FIBRA-020084153
No contactado
Cuadrilla en predio, cliente no responde a citofono, se marca a contacto sin respuesta.  3 era visita por parte de cuadrilla</t>
  </si>
  <si>
    <t>CC-13070147</t>
  </si>
  <si>
    <t>OMAR ANDRES ACOSTA SARASTY</t>
  </si>
  <si>
    <t>CL 24A 56 35 ET 2 IN 3 AP 1002</t>
  </si>
  <si>
    <t>no se puede realizar ya que se encuentra la ducteria obstruida de la caja de paso del apartamento hacia la caja de paso de la torre al parecer realizaron una remodelación y taparon la caja principal en el apartamento</t>
  </si>
  <si>
    <t>Orden Solucionada
MDM-FIBRA-019996011
Se llega a predio, se habla con el usuario, se realiza validación y se busca la ruta desde la nap se pasa por 1 caja de paso que se encuentra en frente del apto 1002 y 2 tomas del predio. se deja fibra en punta en la nap (pdp que se encuentra en dicha caja) y de alli hasta donde se va a dejar el punto.  Se gastan 50 MTS de fibra de baja fricción. No se generan daños ni pérdidas durante la instalacion. Tecnico Jesus silva</t>
  </si>
  <si>
    <t>CC-1067593336</t>
  </si>
  <si>
    <t>MARIA FERNANDA RUEDA PEREZ</t>
  </si>
  <si>
    <t>DG 82C 75A 65 AP 511</t>
  </si>
  <si>
    <t>se valida única ruta de acceso a predio presenta obstrucción entre cdp ruta compartida con demas operadores</t>
  </si>
  <si>
    <t>Orden Solucionada
MDM-FIBRA-020076961
HILADO
Se llega a predio, se validan tomas telefónicas y caja de distribución en pasillo, se realiza sondeo de ductos. Se realiza hilado desde el punto requerido por el cliente saliendo a la caja de distribución en pasillo y posteriormente bajando por cuatro cajas más llegando al primer piso, saliendo a la caja de distribución en anden; pasando por cuatro cajas más llegando a la caja de codensa donde se encuentra la nap asignada PRECONECTORIZADA El técnico instalador debe traer F.O preconectarizada de 100 MTS. No se generan daños ni pérdidas durante la instalacion. Tecnico Fredy corredor</t>
  </si>
  <si>
    <t>CC-52868272</t>
  </si>
  <si>
    <t>ELIZABETH VALCARCEL ROJAS</t>
  </si>
  <si>
    <t>CL 53 4 48 AP 702</t>
  </si>
  <si>
    <t>Confirmado escalamiento causal ducteria obstruida No hay por donde  realizar  la instalación</t>
  </si>
  <si>
    <t>CC-1026551379</t>
  </si>
  <si>
    <t>YAMIT STIVEN PADILLA AMARIS</t>
  </si>
  <si>
    <t>DG 61 SUR 20B 36 CA 190</t>
  </si>
  <si>
    <t xml:space="preserve">no hay paso de la casa 193 a la 190 dónde va la instalación </t>
  </si>
  <si>
    <t>Orden Solucionada
MDM-FIBRA-020078125
Se llega a predio, se habla con el usuario el cual autoriza realizar validación. se evidencia ducteria obstruida, se aplica jabón líquido, agua caliente y por último se realizan 2 pescas. se tiende fibra desde la nap, pasando por 2 cajas de paso peatonal (canalizado) y 2 murales. ingresa a predio por toma principal de la sala y se deja en punto requerido. Se gastan 70 mts de Baja Fricción. No se generan daños ni pérdidas durante la instalacion. Tecnico cesar hernandez</t>
  </si>
  <si>
    <t>Orden Solucionada
MDM-FIBRA-020069546
Se ingresa al cliente, se validan tomas telefónicas y caja de distribución en pasillo, se realiza sondeo de ductos con dificultad por cables que obstruyen el paso, se valida ruta, se realiza  tendido de fibra óptica desde el punto requerido por el cliente saliendo a la caja de distribución en pasillo donde se encuentra la CP asignada. Se gasatan 15 mts de F.O de baja fricción. No se generan daños ni pérdidas durante la instalacion. Tecnico fredy corredor</t>
  </si>
  <si>
    <t>CC-24409534</t>
  </si>
  <si>
    <t>ROSALBA ZULETA GOMEZ</t>
  </si>
  <si>
    <t>CL 140 6 60 IN 2 AP 802</t>
  </si>
  <si>
    <t xml:space="preserve"> se valida ruta de acceso a predio se encuentra obstruccion se envía sonda, avanza unos 10 metros, se tranca y no sigue, toca cablear desde pdp hasta apto</t>
  </si>
  <si>
    <t>*Orden Solucionada*
MDM-FIBRA-020078607
Se instalan 45 MTRS de drop de baja fricción desde la caja de paso, por ducto de telefonía enviamos el drop hasta una caja de paso dentro del predio hasta la toma de la sala, luego pasamos a la toma de TV por otra toma en otra habitación,  subimos al muro por toma de TV y asi pasamos a la habitación principal, se deja reserva ya que persona encargada no sabe donde dejar el punto. No se generan daños ni pérdidas durante la instalacion. Tecnico edwin diaz</t>
  </si>
  <si>
    <t>CC-1023916511</t>
  </si>
  <si>
    <t>MARIA PAULA DOMINGUEZ VELEZ</t>
  </si>
  <si>
    <t>CL 57H SUR 68D 75 TO 4 AP 1209</t>
  </si>
  <si>
    <t>no pasa la sonda y no hay guia</t>
  </si>
  <si>
    <t>Aplazamiento
MDM-FIBRA-020068332
Cuadrilla en predio se marca a contacto,  sra MARIA PAULA DOMINGUEZ VELEZ indica que no puede atender, solicita reprogramar para el dia lunes 24-08 en am.</t>
  </si>
  <si>
    <t>CC-52821747</t>
  </si>
  <si>
    <t>LEIDY VIVIANA HURTADO PIRAQUIVE</t>
  </si>
  <si>
    <t>DG 67B SUR 23 15 MZ H CA 15</t>
  </si>
  <si>
    <t xml:space="preserve">Ducteria obstruida se valida en predio de tt y se le  informa </t>
  </si>
  <si>
    <t>Orden Solucionada
MDM-FIBRA-020085180
Se realiza validación y sondeo desde caja telefonica saliendo a caja de paso en fachada, se va por ducto hasta caja de paso en piso sigue por 5 cajas más hasta llegar a la nap asignada.  En predio se deja donde es requerido. Se gastan 105 Mts Baja Fricción. No se generan daños ni pérdidas durante la instalacion. Tecnico Luis hoyos</t>
  </si>
  <si>
    <t>CC-1031155065</t>
  </si>
  <si>
    <t>JEISON CAMILO RODRIGUEZ CORREA</t>
  </si>
  <si>
    <t>KR 113C 142A 90 BQ 1 AP 401</t>
  </si>
  <si>
    <t xml:space="preserve"> Se evidencia que no hay comunicación entre la nap y las cajas de paso </t>
  </si>
  <si>
    <t>Orden Cancelada
MDM-FIBRA-020069726
Cuadrilla en predio, se marca a contacto, sr JEISON CAMILO RODRIGUEZ CORREA indica que decidió cancelar el servicio, debido a que en visita anterior le indicaron que instalacion no se podia realizar.</t>
  </si>
  <si>
    <t>CC-1032358172</t>
  </si>
  <si>
    <t>HAFRIT RUYARDY MARTINEZ MORALES</t>
  </si>
  <si>
    <t>CL 13 SUR 8 34 AP 106</t>
  </si>
  <si>
    <t xml:space="preserve"> obstrucción caja de pasillo a toma principal de teléfono único ingreso, sonda tranca, sin cables, por citofono no permiten figurar, TV por canaleta externa</t>
  </si>
  <si>
    <t>Aplazamiento
MDM-FIBRA-020085841
Se realiza validación de ruta desde la PDP que queda en caja de paso de pasillo dándole la vuelta por el parqueadero y salir a patio del predio. Cliente debe salir Pide reagendar para el Viernes 21/02/2026 8 AM. Se marca a contacto, confirma informacion.</t>
  </si>
  <si>
    <t>CC-1007627425</t>
  </si>
  <si>
    <t>JUAN DAVID MORENO</t>
  </si>
  <si>
    <t>CL 13 79C 11 TO 10 AP 203</t>
  </si>
  <si>
    <t>realiza validación, encuentra obstrucción entre cajas de paso, yo a cablear de pto hasta nap.</t>
  </si>
  <si>
    <t>Aplazamiento
MDM-FIBRA-020086500
No se finaliza validacion, personal de mantenimiento se debe retirar, cliente solicita continuar el dia 21-08 en am</t>
  </si>
  <si>
    <t>CC-1016101982</t>
  </si>
  <si>
    <t>SANTIAGO ALEJANDRO GONZALEZ ACEVEDO</t>
  </si>
  <si>
    <t>KR 90A 45A 05 SUR ET 4 CA 71</t>
  </si>
  <si>
    <t>Ductos obstruido, se solicita cuadrilla de quiebres.</t>
  </si>
  <si>
    <t>Orden No viable
MDM-FIBRA-020084732
Se llega a predio, se habla con el usuario el cual autoriza realizar validación. Se evidencia ducteria telefonica obstruida, se aplica jabón líquido y agua caliente; se trata de realizar pesca pero las sondas no se encuentran. Se realiza sondeo de adentro hacia afuera y Sonda tranca a 10 mts, de afuera hacia adentro y Sonda avanza 15 mts. Se evidencia q sacaron el Neopren antiguo el cual se rompió y es lo q esta generando la obstrucción la cual no se logra quitar. Se valida x toma de tv, pero en la parte externa se busco 1 cuadra hacia arriba y 1 hacia abajo pero no se encuentra comunicación entre cajas de Codensa con ETB internas dentro del Conjunto. Única ruta de acceso de predio hacia la NAP. No se generan daños ni pérdidas durante la validacion. autoriza supervisor yeison martinez.</t>
  </si>
  <si>
    <t>CC-80164292</t>
  </si>
  <si>
    <t>RICHAR NICZON FLOREZ GARZON</t>
  </si>
  <si>
    <t>KR 16C 63B 25 SUR</t>
  </si>
  <si>
    <t>la Nap  asignada se encuentra a más de 250 metros que es lo autorizado por interventoría de ETB, se envia hacer cambio de nap pero las naps cercanas estan copadas, por tal motivo no se puede realizar el aprovisionamiento</t>
  </si>
  <si>
    <t>No viable//la Nap  asignada se encuentra a más de 250 metros que es lo autorizado por interventoría de ETB, se envia hacer cambio de nap pero las naps cercanas estan copadas, por tal motivo no se puede realizar el aprovisionamiento</t>
  </si>
  <si>
    <t>CC-51961413</t>
  </si>
  <si>
    <t>GLORIA JANNETH SACRISTAN MANOTAS</t>
  </si>
  <si>
    <t>KR 78B 1 05 IN 20 AP 502</t>
  </si>
  <si>
    <t>Gestionada Orden No viable
MDM-FIBRA-019861222
Se realiza validación y sondeo desde apto, no se evidencian tomas telefonicas, al respaldo de  apartamento se encuentra canaletas que bajan hacia zona verde, se encontraron 2 cajas cajas de paso donde las 2 llegan a una caja de condensa y de ahí pasa hacia la caja de etb. Se envía sonda la cual ingresa aproximadamente 7mts y no avanza más, de la caja de paso pasa a la caja de condensa, la sonda se escucha golpear en la mitad de la zona verde. No se generan daños ni pérdidas durante la validacion. autoriza supervisor yeison martinez.</t>
  </si>
  <si>
    <t>MDM-FIBRA-020073715</t>
  </si>
  <si>
    <t>MDM-FIBRA-020069581</t>
  </si>
  <si>
    <t>MDM-FIBRA-020041740</t>
  </si>
  <si>
    <t>MDM-FIBRA-020006565</t>
  </si>
  <si>
    <t>MDM-FIBRA-020083632</t>
  </si>
  <si>
    <t>MDM-FIBRA-020089781</t>
  </si>
  <si>
    <t>MDM-FIBRA-020083366</t>
  </si>
  <si>
    <t>MDM-FIBRA-020075105</t>
  </si>
  <si>
    <t>MDM-FIBRA-020079365</t>
  </si>
  <si>
    <t>MDM-FIBRA-020055849</t>
  </si>
  <si>
    <t>MDM-FIBRA-020080608</t>
  </si>
  <si>
    <t>MDM-FIBRA-020085263</t>
  </si>
  <si>
    <t>MDM-FIBRA-020083696</t>
  </si>
  <si>
    <t>MDM-FIBRA-020083791</t>
  </si>
  <si>
    <t>MDM-FIBRA-020053891</t>
  </si>
  <si>
    <t>MDM-FIBRA-020044271</t>
  </si>
  <si>
    <t>MDM-FIBRA-020083729</t>
  </si>
  <si>
    <t>MDM-FIBRA-020068962</t>
  </si>
  <si>
    <t>MDM-FIBRA-020090743</t>
  </si>
  <si>
    <t>MDM-FIBRA-020093541</t>
  </si>
  <si>
    <t>CC-1110474945</t>
  </si>
  <si>
    <t>JAIME ALBERTO ROJAS PATERNINA</t>
  </si>
  <si>
    <t>KR 7 43 33 AP 308</t>
  </si>
  <si>
    <t xml:space="preserve"> Se evidencia que hay una obstrucción desde la caja de paso hacia  el apt , se sondea  y la sonda tranca  , se sondea viseverda  y tranca igualmente, la ruta va desde la caja de paso directamenteal apt</t>
  </si>
  <si>
    <t>Orden No viable
MDM-FIBRA-020073715
Se llega a predio, se habla con el usuario el cual autoriza realizar validación. Se evidencia ducteria obstruida, se aplica jabón líquido y agua caliente dentro del predio y en caja de paso de pasillo. se realiza sondeo de adentro hacia afuera y sonda tranca a los 6 mts, de afuera hacia adentro sonda avanza solo 8 mts. se realiza pesca y sondas no se encuentran. citofonia ingresa por medio de las cocinas de todos los apartamentos, tomas de tv no tienen comunicación con etb. no permiten cables figurados por zonas comunes. No se generan daños ni pérdidas durante la validacion. autoriza supervisor yeison martinez.</t>
  </si>
  <si>
    <t>CC-1037977145</t>
  </si>
  <si>
    <t>YIJANA TORRES ESPINOZA</t>
  </si>
  <si>
    <t>CL 93 0 50 TO 1 AP 902</t>
  </si>
  <si>
    <t xml:space="preserve">ducteria obstruida no se mueve los cables ya que son de claro y les echaron vaselina la sonda ingresan como 7 metros pero se atranca </t>
  </si>
  <si>
    <t>Orden Solucionada
MDM-FIBRA-020069581
Se llega a predio, se habla con el usuario, se realiza validación y se busca la ruta desde la nap asignada se pasa por 1 caja de paso que se encuentra en frente del apto 902 y 2 tomas del predio. se deja fibra en punta ( tecnico debe dejar pdp en dicha caja) y de alli hasta donde se va a dejar el punto.  Se gastan 30 MTS de fibra de baja fricción. No se generan daños ni pérdidas durante la instalacion. Tecnico jesus silva</t>
  </si>
  <si>
    <t>CC-52436909</t>
  </si>
  <si>
    <t>DIANA CAROLINA LUNA HENAO</t>
  </si>
  <si>
    <t>KR 19C 88 12 AP 401</t>
  </si>
  <si>
    <t>CC-28032201</t>
  </si>
  <si>
    <t>MARIA TERESA QUIROGA ARGUELLO</t>
  </si>
  <si>
    <t>TV 93 52A 21</t>
  </si>
  <si>
    <t>obstrucción entre cajas de paso de predio a caja de comunicación exterior del predio</t>
  </si>
  <si>
    <t>NO APLICA VISITA</t>
  </si>
  <si>
    <t>No aplica visita
Suspensión errada
MDM-FIBRA-020006565
En validación se encontró que predio no cuenta con posteria de apoyo ni cajas de distribución que nos comuniquen con la nap externa en cámara. No se generan daños ni pérdidas durante la validación. autoriza supervisor yeison martinez.</t>
  </si>
  <si>
    <t>CC-80425642</t>
  </si>
  <si>
    <t>CARLOS ANDRES AMAYA MEDINA</t>
  </si>
  <si>
    <t>KR 8 79 17 AP 701</t>
  </si>
  <si>
    <t>Hay tres cables dos de coaxial y uno de utp se envia sonda no acanza ni 4 metros y las guias no se mueven para nada</t>
  </si>
  <si>
    <t>Orden Solucionada
MDM-FIBRA-020083632
Se instalan 24 mtrs de drop de baja fricción desde el estudio donde solicitan el servicio, seguimos drop por ducto de telefonía hasta la toma ubicada en habitación de servicio,  luego pasamos a la caja de paso donde dejamos reserva. Para instalar el punto debe instalar  pdp o bajar el drop al otro piso. hay cableado existente para posibles puntos periféricos. No se generan daños ni pérdidas durante la instalacion.</t>
  </si>
  <si>
    <t>CC-1043149776</t>
  </si>
  <si>
    <t>JOSHUA DAVID ALVAREZ</t>
  </si>
  <si>
    <t>KR 88 6 32 IN 26 AP 203</t>
  </si>
  <si>
    <t>no conseguimos pasar la sonda desde la nap asignada hasta el strip ya que se encuentra tapado de barro el ducto</t>
  </si>
  <si>
    <t>MDM-FIBRA-020089781
No contactado
Cuadrilla en predio se marca a contactos sin respuesta, seguridad indica que no hay nadie.</t>
  </si>
  <si>
    <t>CC-20211053</t>
  </si>
  <si>
    <t>MARIA REBECA ECHEVERRI CHAUX</t>
  </si>
  <si>
    <t>DG 74B 6 66 AP 303</t>
  </si>
  <si>
    <t xml:space="preserve">ducteria obstruida en ingreso a predio </t>
  </si>
  <si>
    <t>Orden Solucionada
MDM-FIBRA-020083366
Se instalan 21 MTRS de drop de baja fricción desde la caja de paso por ducto de telefonía enviamos el drop hasta la toma principal en el estudio donde usuario solicita el servicio. No se generan daños ni pérdidas durante la instalacion. Tecnico Edwin diaz</t>
  </si>
  <si>
    <t>CC-1010041986</t>
  </si>
  <si>
    <t>LAURA XIMENA CASALLAS RAMIREZ</t>
  </si>
  <si>
    <t>KR 119 77 75 TO 1 AP 803</t>
  </si>
  <si>
    <t>se valida obstruccion entre cdp única ruta de acceso a predio cables existentes no se mueven</t>
  </si>
  <si>
    <t>Orden Solucionada
MDM-FIBRA-020075105
Se ingresa al cliente y se validan tomas telefónicas y caja de distribución en pasillo, se realiza sondeo de ductos, se realiza el tendido de fibra óptica desde el punto requerido por el cliente saliendo a la caja de distribución en pasillo donde se encuentra la CP asignada. Se gastan 30 MTS de F.O de baja fricción. No se generan daños ni pérdidas durante la instalacion. Tecnico Fredy corredor</t>
  </si>
  <si>
    <t>CC-51966187</t>
  </si>
  <si>
    <t>DORIS OTALORA SANCHEZ</t>
  </si>
  <si>
    <t>KR 14 1 05 BQ 3 AP 708</t>
  </si>
  <si>
    <t>obstrucción caja de pasillo a toma principal de teléfono, único ingreso, se evidencia adecuación en predio , claro</t>
  </si>
  <si>
    <t>Orden No viable
MDM-FIBRA-020079365
Se llega a predio, se habla con el usuario el cual autoriza realizar validación. Se evidencia único toma visible en sala obstruida, toma de citofonia tapada  remodelacion en predio no hay toma de tv, todas las paredes están con estuco veneciano. no se encuentra ruta por terraza ya que el tubo de citofonia va hacia arriba no sale a terraza. no permiten cables figurados por zonas comunes. No se generan daños ni pérdidas durante la validacion. autoriza supervisor yeison martinez.</t>
  </si>
  <si>
    <t>CC-79942682</t>
  </si>
  <si>
    <t>RAUL EDUARDO PINILLA MORALES</t>
  </si>
  <si>
    <t>KR 16 82 74 CN 505</t>
  </si>
  <si>
    <t>se valida ruta de acceso a predio se encuentra obstruccion se requiere cuadrilla de quiebre</t>
  </si>
  <si>
    <t>MDM-FIBRA-020055849
No contactado
Cuadrilla en predio, seguridad indica que no hay nadie, se marca a contactos sin respuesta</t>
  </si>
  <si>
    <t>CC-1020712489</t>
  </si>
  <si>
    <t>SANDRA PATRICIA TORRES RANGEL</t>
  </si>
  <si>
    <t>CL 52F SUR 24C 20 IN 3 AP 102</t>
  </si>
  <si>
    <t>rden no se puede realizar ya que se encuentra la ducteria obstruida de las camara que se encuentran al respaldo del apartamento para donde va la instalación no pasa la sonda se tranca a más o menos unos 6 metros</t>
  </si>
  <si>
    <t>Orden Solucionada
MDM-FIBRA-020080608
Se  realiza validacion desde caja de paso en zona verde, cliente cuenta con perforación hacia esa caja, se envía sonda, se pasa por 7 cajas hasta llegar a la Furukawa.  En predio se deja reserva, ya que el cliente quiere validar mejor ubicacion. Se gastan 90 mts Baja Fricción. No se generan daños ni pérdidas durante la instalacion. Tecnico Luis hoyos</t>
  </si>
  <si>
    <t>CC-80102162</t>
  </si>
  <si>
    <t>MARIO DAVID CABRERA ORTIZ</t>
  </si>
  <si>
    <t>CL 20A 96 71 AP 1542</t>
  </si>
  <si>
    <t xml:space="preserve">Validación, encuentra obstrucción entre cajas de paso toca cablear de pto hasta pdp </t>
  </si>
  <si>
    <t>Orden Solucionada
MDM-FIBRA-020085263
Se ingresa al cliente, se validan tomas telefónicas y caja de distribución en pasillo. Se realiza tendido de fibra óptica desde el punto requerido por el cliente saliendo a la caja de distribución en pasillo donde se encuentra la CP asignada. Se gastan 30 MTS de F.O de baja fricción. No se generan daños ni pérdidas durante la instalacion. Tecnico Fredy corredor. No se encontro dificultad en el tendido</t>
  </si>
  <si>
    <t>CC-19451050</t>
  </si>
  <si>
    <t>CARLOS HUMBERTO MORENO TORRES</t>
  </si>
  <si>
    <t>KR 5 6B 51 IN 4 AP 502</t>
  </si>
  <si>
    <t>drop a nap piso 5 a sótano por foso que está en el bañó, se envía pesa, no pasa de el piso 2 a sótano, claro</t>
  </si>
  <si>
    <t>Aplazamiento
MDM-FIBRA-020083696
Cuadrilla en predio, clietne no repsonde citofono, se marca a contacto, cliente CARLOS HUMBERTO MORENO TORRES solicita reprogramar para el dia 25-08 en am</t>
  </si>
  <si>
    <t>CC-52899642</t>
  </si>
  <si>
    <t>LADY JOHANA QUILAGUY TORRES</t>
  </si>
  <si>
    <t>KR 27 29A 85 SUR AP 306</t>
  </si>
  <si>
    <t>obstrucción caja de pasillo a toma principal de teléfono único ingreso, se evidencia fibra atascada, sonda tranca, no cables figurados por área común</t>
  </si>
  <si>
    <t>Aplazamiento
MDM-FIBRA-020083791
Cuadrilla en predio, se marca a contacto sra LADY JOHANA QUILAGUY TORRES indica que no puede atender solicita reprogramar para el dia 22-08 en am.</t>
  </si>
  <si>
    <t>NIT-900108600</t>
  </si>
  <si>
    <t>CLE LTDA</t>
  </si>
  <si>
    <t>KR 13 90 36 AP 704</t>
  </si>
  <si>
    <t>*Orden Solucionada*
MDM-FIBRA-020053891
Se instalan 50 MTRS de drop de baja fricción desde la caja de paso del piso 2 donde técnico le informa al usuario que debemos dejar la reserva, de esta toma subimos al piso 7 por ducto principal subimos hasta la toma principal de la oficina donde dejamos reserva suficiente para la ubicación del servicio. No se generan daños ni pérdidas durante la instalacion. Tecnico edwin diaz</t>
  </si>
  <si>
    <t>CC-1019131974</t>
  </si>
  <si>
    <t>WILLIAN DANIEL FAJARDO RAMIREZ</t>
  </si>
  <si>
    <t>KR 30 30 85 SUR</t>
  </si>
  <si>
    <t>se  evidencia que para llevar la fibra hasta el predio se debe pasar por el techo del predio la cual no es autorizado ya que está en riesgo la integridad del técnico, es la única ruta autorizada por el Dueño del predio, se valida otra ruta pero tampoco es viable ya que si o si se debe pasar por los techos, dueño delnpredio no acepta cables a la vista, impidiendo asi la instalación del servicio</t>
  </si>
  <si>
    <t>No viable//se  evidencia que para llevar la fibra hasta el predio se debe pasar por el techo del predio la cual no es autorizado ya que está en riesgo la integridad del técnico, es la única ruta autorizada por el Dueño del predio, se valida otra ruta pero tampoco es viable ya que si o si se debe pasar por los techos, dueño delnpredio no acepta cables a la vista, impidiendo asi la instalación del servicio</t>
  </si>
  <si>
    <t>CC-1007645785</t>
  </si>
  <si>
    <t>JUNIOR BALOY ESPAÑA BARREIRO</t>
  </si>
  <si>
    <t>KR 81C 48 SUR 34</t>
  </si>
  <si>
    <t xml:space="preserve"> la nap asignada se encuentra demasiado retirada del predio donde se va realizar la instalación, se valida cambio para dos NAP cercana pero no se logra ya que no poseen puertos libres</t>
  </si>
  <si>
    <t>No viable// la nap asignada se encuentra demasiado retirada del predio donde se va realizar la instalación, se valida cambio para dos NAP cercana pero no se logra ya que no poseen puertos libres</t>
  </si>
  <si>
    <t>NIT-830508023</t>
  </si>
  <si>
    <t>PELOTA DE LETRAS LTDA S.A.S</t>
  </si>
  <si>
    <t>CL 134A 9 51</t>
  </si>
  <si>
    <t xml:space="preserve">se evidencia que la camara donde se debe instalar esta soldada , no hay viablidad para la instalacion </t>
  </si>
  <si>
    <t xml:space="preserve">No viable//se evidencia que la camara donde se debe instalar esta soldada , no hay viablidad para la instalacion </t>
  </si>
  <si>
    <t>CC-1020718271</t>
  </si>
  <si>
    <t>MARIA VICTORIA LINARES BARRETO</t>
  </si>
  <si>
    <t>CL 74 6 11 AP 1102</t>
  </si>
  <si>
    <t xml:space="preserve">*Aplazamiento*
MDM-FIBRA-020090743
No se finalizan actividades por horario de administracion, cliente solicita continuar el dia 21-08 en am </t>
  </si>
  <si>
    <t>CC-79750398</t>
  </si>
  <si>
    <t>NESTOR CAMILO PEÑA SILVA</t>
  </si>
  <si>
    <t>KR 12A 134B 55 IN 8</t>
  </si>
  <si>
    <t xml:space="preserve">se evidencia que no hay viabilidad de las camaras de paso, al predio </t>
  </si>
  <si>
    <t xml:space="preserve">No viable//se evidencia que no hay viabilidad de las camaras de paso, al predio </t>
  </si>
  <si>
    <t>MDM-FIBRA-020085814</t>
  </si>
  <si>
    <t>MDM-FIBRA-020059323</t>
  </si>
  <si>
    <t>MDM-FIBRA-020077709</t>
  </si>
  <si>
    <t>MDM-FIBRA-020095525</t>
  </si>
  <si>
    <t>MDM-FIBRA-020082228</t>
  </si>
  <si>
    <t>MDM-FIBRA-020093112</t>
  </si>
  <si>
    <t>MDM-FIBRA-020077624</t>
  </si>
  <si>
    <t>MDM-FIBRA-020081742</t>
  </si>
  <si>
    <t>MDM-FIBRA-020080338</t>
  </si>
  <si>
    <t>MDM-FIBRA-020096652</t>
  </si>
  <si>
    <t>MDM-FIBRA-020094992</t>
  </si>
  <si>
    <t>MDM-FIBRA-020085678</t>
  </si>
  <si>
    <t>MDM-FIBRA-020095420</t>
  </si>
  <si>
    <t>MDM-FIBRA-020099584</t>
  </si>
  <si>
    <t xml:space="preserve">M-FIBRA-020058096  </t>
  </si>
  <si>
    <t>MDM-FIBRA-020092347</t>
  </si>
  <si>
    <t>MDM-FIBRA-020098826</t>
  </si>
  <si>
    <t>MDM-FIBRA-020100631</t>
  </si>
  <si>
    <t>CC-53894126</t>
  </si>
  <si>
    <t>AURA MARIA RIVERA HERRERA</t>
  </si>
  <si>
    <t>CL 151 6 28 IN 2</t>
  </si>
  <si>
    <t>realiza validacion de ingreso y ducteria para pasar el drop, se encuentra caja de ingreso en sotano hasta la cocina, donde la sonda no pasa y de alli se sondea hasta la sala donde debe quedar la ont para desplegar los ap pero no se logra comunicación, avanza aproximadamente 7mts</t>
  </si>
  <si>
    <t>Orden No viable
MDM-FIBRA-020085814
se llega a predio, se habla con el usuario el cual autoriza realizar validación. se evidencia ducteria obstruida en cuarto de juegos donde donde requieren el modem principal. se valida todos los cuartos y solo hay viabilidad de cocina a 2 alcobas en piso 2 nada más. se evidencian que hay 2 cajas tapadas en pasillo interno del predio, las cuales son las q distribuyen a cuarto de juegos y alcoba principal en piso 3. cajas de distribución internas tapadas x remodelacion y no permiten cables figurados por fuera dentro del predio. No se generan daños ni pérdidas durante la validación. Autoriza supervisor Yeison martinez</t>
  </si>
  <si>
    <t>CC-1106363900</t>
  </si>
  <si>
    <t>ANDREA SORANYI ALVAREZ PRIETO</t>
  </si>
  <si>
    <t>CL 1B 40 40</t>
  </si>
  <si>
    <t>el ducto que comunica de la caja de paso a la toma principal se encuentra obstruido sonda no pasa,guía no se mueve</t>
  </si>
  <si>
    <t>Orden Solucionada
MDM-FIBRA-020059323
Se llega a predio, se habla con el usuario, se realiza validación y se busca la ruta desde la nap asignada, se deja fibra en punta y de allí hasta predio donde se va a dejar el punto. Se gastan 80 MTS de fibra drop indoor outdoor- Herraje 3. No se generan daños ni pérdidas durante la instalacion. Tecnico jesus silva</t>
  </si>
  <si>
    <t>Orden Solucionada
MDM-FIBRA-020085841
Se realiza validacion y sondeo desde patio ya que la ducteria esta por esa parte se envía sonda hasta llegar a caja de paso en sótano, se pasa por cajas y ducto hasta llegar a caja de paso y se sube hacia la PDP de piso. Se gastan 65Mts Baja Fricción. No se generan daños ni pérdidas durante la instalacion. Tecnico luis hoyos</t>
  </si>
  <si>
    <t>Orden Solucionada
MDM-FIBRA-020086500
Se llega a predio, se habla con el usuario, se realiza validación y se busca la ruta desde la nap asignada, se pasa por 2 canaletas. Se deja fibra en punta en la nap y de alli hasta donde se va a dejar el punto. Se gastan 100 MTS de fibra de baja fricción. No se generan daños ni pérdidas durante la instalacion. Tecnico jesus silva</t>
  </si>
  <si>
    <t>CC-41730489</t>
  </si>
  <si>
    <t>LUZ ADRIANA MARGARI MEJIA TALERO</t>
  </si>
  <si>
    <t>KR 56B 127 57</t>
  </si>
  <si>
    <t xml:space="preserve">:Ductería obstruida en recámara de paso por barro </t>
  </si>
  <si>
    <t>Orden No viable
MDM-FIBRA-020077709
Se llega a predio, se habla con el usuario el cual autoriza realizar validación. Se evidencia ducteria obstruida de caja de paso de Jardín del cliente hacia adentro del predio. Solo se encuentra ruta viable desde la NAP hasta la caja de paso en Jardín. Se busca ruta alterna por fachada dentro del conjunto de casas, pero no se encuentra ruta entre etb y cajas de codensa internas. única ruta de acceso entre predio y nap asignada. No se generan daños ni pérdidas durante la validación. Autoriza supervisor Yeison martinez</t>
  </si>
  <si>
    <t>CC-1012370489</t>
  </si>
  <si>
    <t>CRISTIAM ALBERTO AROCA MEDINA</t>
  </si>
  <si>
    <t>KR 93D 71 49 SUR CA 235</t>
  </si>
  <si>
    <t>Ducteria obstruida no pasa sonda se requiere apoyo de cuadrilla de quiebre</t>
  </si>
  <si>
    <t>Orden No viable
MDM-FIBRA-020095525
Se ingresa al cliente y se validan tomas telefónicas y caja de distribución en anden, se realiza sondeo de ductos de caja telefónica a la caja de distribución y la sonda se quéda en la curva a 50 cm  se realiza sondeo de caja de distribución en anden 24 mts hacia el cliente y la sonda se queda llegando en la curva y no llega. se válida ruta por fachada y no tenemos acceso a la nap etb. No se generan daños ni pérdidas durante la validación. Autoriza supervisor Yeison martinez</t>
  </si>
  <si>
    <t>CC-1077860999</t>
  </si>
  <si>
    <t>YULLY PAOLA CUELLAR TRIANA</t>
  </si>
  <si>
    <t>KR 49B 58G 05 SUR IN 16 AP 347</t>
  </si>
  <si>
    <t xml:space="preserve">tubería obstruida del apartamento a la salida del strip telefónico </t>
  </si>
  <si>
    <t>*Orden Solucionada*
MDM-FIBRA-020082228
Se  realiza validacion y sondeo desde caja telefonica, saliendo a caja fachada, se baja hasta el 1er piso hasta el strip telefonico que esta en el mismo piso.  En predio se deja donde es requerido. Se gastan 30Mts Baja Fricción. No se generan daños ni pérdidas durante la instalacion. Tecnico luis hoyos</t>
  </si>
  <si>
    <t>CC-1000226982</t>
  </si>
  <si>
    <t>MARIA CAMILA DELGADO OROZCO</t>
  </si>
  <si>
    <t>KR 65 169A 50 CA 16</t>
  </si>
  <si>
    <t>Ducteria obstruida no pasa sonda</t>
  </si>
  <si>
    <t>Orden Solucionada
MDM-FIBRA-020093112
Se llega a predio, se habla con el usuario el cual autoriza realizar validación. Se evidencia ducteria telefonica obstruida, se busca ruta por toma de tv, y se realizan varias pescas. se tiende fibra desde la pdp q queda en caja de paso de techo en sótano. se lleva x 6 cajas de paso en techo, se ingresa a predio por toma de tv en piso 2 pasando por 3 alcobas, se lleva a cuarto de estudio en piso 3 y se deja en punto requerido por el cliente. se gastan 80 mts de baja fricción  No se generan daños ni afectaciones en predio  No se generan daños ni pérdidas durante la instalacion. Tecnico cesar hernandez</t>
  </si>
  <si>
    <t>CC-1001330200</t>
  </si>
  <si>
    <t>GERMAN SANTIAGO JIMENEZ JIMENEZ</t>
  </si>
  <si>
    <t>CL 40 SUR 72I 33 IN 7 AP 303</t>
  </si>
  <si>
    <t>Orden Solucionada
MDM-FIBRA-020077624
Se realiza validacion y sondeo desde caja telefonica, saliendo a caja fachada, baja  por caja de fachada hasta el 1er piso hasta el strip telefonico que esta en el mismo piso. En predio se deja donde es requerido. Se gastan 30Mts Baja Fricción. No se generan daños ni pérdidas durante la instalacion. Tecnico luis hoyos</t>
  </si>
  <si>
    <t>CC-1020758821</t>
  </si>
  <si>
    <t>SANTIAGO RIASCOS VANEGAS</t>
  </si>
  <si>
    <t>CL 131A 9 20 TO 3 AP 206</t>
  </si>
  <si>
    <t xml:space="preserve"> Se valida ruta de ingreso al apartento.  Se envia zonda. Por ducto  desde caja de paso.   No se logra ingresar la fibra al predio </t>
  </si>
  <si>
    <t>Orden No viable
MDM-FIBRA-020081742
Se realizó validación de ruta para tendido evidenciamos que el apartamento es duplex cuenta con dos ingresos TV al segundo nivel y al primero llega citofonia cocina llega del 2 nivel; al enviar la sonda por la toma de teléfonos del primer nivel está solo ingresan 30 CM y tranca, cables existentes no se mueven, por el citofono de la cocina la sonda ingresa 10 MTRS y queda trancada; por tv del segundo nivel la sonda ingresa pero tampoco  sale a la caja de paso; todos los tubos tienen cables pero en el apartamento no se logra encontrar paso por ductos. por fachada administración no permiten cables por zonas comunes. No se generan daños ni pérdidas durante la validación. Autoriza supervisor Yeison martinez</t>
  </si>
  <si>
    <t>CC-1002313727</t>
  </si>
  <si>
    <t>LUISA FERNANDA CONTRERAS GARCIA</t>
  </si>
  <si>
    <t>CL 83 SUR 91 70 TO 5 AP 601</t>
  </si>
  <si>
    <t xml:space="preserve">Ducteria obstruida no pasa sonda </t>
  </si>
  <si>
    <t>Aplazamiento
MDM-FIBRA-020080338
Por horario de administracion no permiten mas labores, cliente solicita reprogramar para el dia 22-08 en am</t>
  </si>
  <si>
    <t>CC-1030630059</t>
  </si>
  <si>
    <t>JONATHAN ALEXANDER CORREDOR TRASLAVIÑA</t>
  </si>
  <si>
    <t>CL 53 SUR 79C 06 IN 1 AP 202</t>
  </si>
  <si>
    <t>no pasa la sonda para tender el cable</t>
  </si>
  <si>
    <t>*Orden Solucionada*
MDM-FIBRA-020096652
Se ingresa al cliente, se validan tomas telefónicas y caja de distribución en pasillo, se realiza sondeo de ductos. Se realiza  tendido de fibra óptica desde el punto requerido por el cliente saliendo a la caja de distribución en pasillo donde se encuentra la CP asignada. Se gastan 20  mts de F.O de baja fricción. No se generan daños ni pérdidas durante la instalacion. Tecnico fredy corredor.</t>
  </si>
  <si>
    <t>CC-39694664</t>
  </si>
  <si>
    <t>SYLVIA CABRERA GONZALEZ</t>
  </si>
  <si>
    <t>KR 13 BIS 109 76 AP 201</t>
  </si>
  <si>
    <t>Orden Solucionada
MDM-FIBRA-020094992
Se instalan 36 mtrs de drop de baja fricción desde la caja de telefonía enviamos el drop hasta la toma principal ubicada en la sala donde técnico le informa al usuario .se validaron los demás ductos encontrando viabilidad. No se generan daños ni pérdidas durante la instalacion. Tecnico edwin dia</t>
  </si>
  <si>
    <t>*Orden Solucionada*
MDM-FIBRA-020090743
Se llega a predio, se habla con el usuario, se realiza validación y se busca la ruta desde la nap asignada, pasando  por 1 caja y 2 toma. Se deja fibra en punta y de alli hasta donde se va a dejar el punto. Se gastan 40 MTS de fibra de baja fricción. No se generan daños ni pérdidas durante la instalacion. Tecnico jesus silva</t>
  </si>
  <si>
    <t>CC-80226516</t>
  </si>
  <si>
    <t>MILCIADES CARDENAS SISA</t>
  </si>
  <si>
    <t>CL 8 20 30 LC 111</t>
  </si>
  <si>
    <t>Se evidencio  que las cajas de paso estan en el techo del centro comercial pero la escalera de tijera mas larga que tenemos no alcanza por lo cual se requiere realizar la actividad con andamios certificados o en su defecto manlif, por tal motivo no se puede realizar el aprovisionamiento</t>
  </si>
  <si>
    <t>No viable//Se evidencio  que las cajas de paso estan en el techo del centro comercial pero la escalera de tijera mas larga que tenemos no alcanza por lo cual se requiere realizar la actividad con andamios certificados o en su defecto manlif, por tal motivo no se puede realizar el aprovisionamiento</t>
  </si>
  <si>
    <t>CC-1014182827</t>
  </si>
  <si>
    <t>DANIEL ESTIVEN SANABRIA CASTRO</t>
  </si>
  <si>
    <t>CL 66A 77 28</t>
  </si>
  <si>
    <t>se valida l única ruta de acceso que nos permites es por tejados por seguridad industrial no es posible se pone en riesgo integridad de tecnico</t>
  </si>
  <si>
    <t>No viable//se valida l única ruta de acceso que nos permites es por tejados por seguridad industrial no es posible se pone en riesgo integridad de tecnico</t>
  </si>
  <si>
    <t>CC-80073872</t>
  </si>
  <si>
    <t>HENRY DAVID NEIRA TRIANA</t>
  </si>
  <si>
    <t>CL 136 13 77</t>
  </si>
  <si>
    <t>Gestionada Orden No viable
MDM-FIBRA-017842625
Se llega a predio, se realiza validacion en el interior de la casa,  se evidencia que no hay tomas telefónicas ni de TV. Cliente con servicios de claro, en caja eléctrica ya que no se evidencia cajas de paso en fachada ni piso,  no se evidencia más cajas. Se ingresa sonda, no se evidencia que ingresó más de 3 mts aproximadamente, no se evidencian más cajas al rededor ya que la mayoría son jardines. No se generan daños ni pérdidas durante la validacion. Autoriza supervisor Yeison Martinez.</t>
  </si>
  <si>
    <t>CC-41726809</t>
  </si>
  <si>
    <t>PAULINA FLOREZ DE ACOSTA</t>
  </si>
  <si>
    <t>CL 30 BIS A SUR 6 83 ESTE PI 2</t>
  </si>
  <si>
    <t>nap asignada se encuentra a más de 250 metros que es lo autorizado por interventoría de ETB, se envia hacer cambio de nap pero las naps cercanas N1SI11_A19 - N1SI11_A18  estan copadas, por tal motivo no se puede realizar el aprovisionamiento</t>
  </si>
  <si>
    <t>No viable//nap asignada se encuentra a más de 250 metros que es lo autorizado por interventoría de ETB, se envia hacer cambio de nap pero las naps cercanas N1SI11_A19 - N1SI11_A18  estan copadas, por tal motivo no se puede realizar el aprovisionamiento</t>
  </si>
  <si>
    <t>CC-41705170</t>
  </si>
  <si>
    <t>OLGA TOVAR VALENCIA</t>
  </si>
  <si>
    <t>KR 58C 142 20 IN 4 AP 204</t>
  </si>
  <si>
    <t>Ductería obstruida entre toma pared apto y caja de paso de la Pep</t>
  </si>
  <si>
    <t>Orden Solucionada
MDM-FIBRA-020092347
Se instalan 16 MTRS de drop de baja fricción desde la caja de paso, por ducto de teléfono enviamos el drop hasta la toma principal donde usuario solicita el servicio. No se generan daños ni pérdidas durante la instalacion. Tecnico edwin diaz</t>
  </si>
  <si>
    <t>CC-1016088972</t>
  </si>
  <si>
    <t>VALENTINA MORA PARRA</t>
  </si>
  <si>
    <t>CL 22B BIS 82 31</t>
  </si>
  <si>
    <t>se deben realizar trabajos sobre tejado cosa que no tenemos permitido por seguridad industrial se le ofrecen rutas alternas al cliente el cual dice que no que debe ir por donde están los demás cables</t>
  </si>
  <si>
    <t>No viable//se deben realizar trabajos sobre tejado cosa que no tenemos permitido por seguridad industrial se le ofrecen rutas alternas al cliente el cual dice que no que debe ir por donde están los demás cables</t>
  </si>
  <si>
    <t>PA-X00168435</t>
  </si>
  <si>
    <t>ANDREA KAMILA ROJAS MOGOLLON</t>
  </si>
  <si>
    <t>KR 2 76A 02 TO 3 AP 1001</t>
  </si>
  <si>
    <t>se valida ruta de acceso a predio se encuentra obstruccion se requiere cuadrilla de quiebre
ZTE</t>
  </si>
  <si>
    <t>Gesrtionada Orden No viable
MDM-FIBRA-018281960
Se llega a predio, se evidencia ducteria obstruida, se aplica jabón líquido a la sonda. se realiza sondeo desde cuarto de comunicaciones en pasillo hacia el predio. sonda avanza 20 mts y se evidencia que suena en cuarto donde se encuentra la lavadora. se realiza sondeo desde caja de paso de cocina en techo y se evidencia que también suena en el cuarto donde se encuentra la lavadora. Por remodelaciones en apartamento taparon la caja de acceso principal con drywall. se realizó sondeo por los 3 tubos de acceso y todos suenan en el mismo cuarto donde se encuentra la caja tapada. se le informa al cliente, administración no permite cables por zonas comunes y no hay mas accesos al predio. No se generan daños ni pérdidas durante la validación. Autoriza supervisor Yeison Martinez.</t>
  </si>
  <si>
    <t>MDM-FIBRA-020093807</t>
  </si>
  <si>
    <t>MDM-FIBRA-020093386</t>
  </si>
  <si>
    <t>MDM-FIBRA-020094573</t>
  </si>
  <si>
    <t>MDM-FIBRA-020052172</t>
  </si>
  <si>
    <t>MDM-FIBRA-020097038</t>
  </si>
  <si>
    <t>MDM-FIBRA-020095711</t>
  </si>
  <si>
    <t>MDM-FIBRA-020105949</t>
  </si>
  <si>
    <t>MDM-FIBRA-020106469</t>
  </si>
  <si>
    <t>MDM-FIBRA-020083461</t>
  </si>
  <si>
    <t>MDM-FIBRA-020055493</t>
  </si>
  <si>
    <t xml:space="preserve">MDM-FIBRA-020108177 </t>
  </si>
  <si>
    <t>MDM-FIBRA-020080919</t>
  </si>
  <si>
    <t>ORDEN NO VIABLE
Se ingresa al predio y se validan las tomas telefónicas y la caja de distribución ubicada en el andén. Se realiza sondeo de ductos desde la toma del cliente hacia la caja de distribución, encontrando obstrucción a los 2 m. Posteriormente, se realiza sondeo desde la caja de distribución hacia la toma del cliente, logrando un avance de 35 m y quedando a 2 m de llegar al punto de destino. Durante la validación se evidencia que las tomas están compartidas con el apartamento contiguo. No se encuentra personal en dicho inmueble para realizar la instalación y el cliente manifiesta no tener contacto con el propietario. Se valida ruta por fachada; sin embargo, la administración no autoriza instalación de red externa. Se deja la infraestructura normalizada, sin generar daños ni afectaciones al bien común.</t>
  </si>
  <si>
    <t>Aplazamiento
Cuadrilla en predio, se marca a contacto, cliente indica que no puede atender solicita reprogramar para el día 27-08 en am.</t>
  </si>
  <si>
    <t>CC-1030564336</t>
  </si>
  <si>
    <t>WILLIAM STEVEEN HERRERA HERMANDEZ</t>
  </si>
  <si>
    <t>CL 60 46 41 AP 611</t>
  </si>
  <si>
    <t xml:space="preserve"> se evidencia que hay una obstrucción desde la caja de paso hacia  el apt , se sondea  y la sonda tranca  , se sondea viseversa  y tranca igualmente, la ruta va desde pdp  directamente al apt</t>
  </si>
  <si>
    <t>MDM-FIBRA-020093807
CLIENTE NO CONTACTADO
Cuadrilla en  predio, personal de seguridad informa que el cliente cancelo el servicio y no permite ingresar, se marca a números de orden y no hay respuesta sin contacto con cliente. Técnico Freddy Corredor</t>
  </si>
  <si>
    <t>Orden Solucionada
MDM-FIBRA-020083791
Se inicia validación y sondeo desde la caja telefónica hacia la caja de distribución, donde se evidencia infraestructura de servicio Claro. Se realiza método de pesca mediante sonda, logrando continuidad hasta la caja de paso ubicada en las escaleras de emergencia.
En el predio, la instalación queda ubicada en el punto requerido, sin generar daños ni afectaciones a la infraestructura o acabados. Observación: Se realiza método de pesca desde la caja telefónica hacia la caja de distribución y, posteriormente, desde la caja de distribución hasta la caja de paso.</t>
  </si>
  <si>
    <t>CC-52516852</t>
  </si>
  <si>
    <t>ANDREA PAOLA PEREZ ESTRADA</t>
  </si>
  <si>
    <t>CL 12A 71B 60 ET 2 CA 180</t>
  </si>
  <si>
    <t>obstruccion entre cajas de paso de predio a Nap, sonda avanza aproximadamente 4 metros y tranca</t>
  </si>
  <si>
    <t>SOLUCIONADA – MDM-FIBRA 020093386
Se llega al predio y el usuario autoriza la validación. Se evidencia ductería obstruida, logrando habilitar la ruta mediante sondeo con jabón líquido y agua caliente.Se realiza tendido de fibra desde la NAP, pasando por 2 cajas peatonales canalizadas y 2 cajas murales, ingresando al predio por la toma principal. Se dejan 70 metros de fibra de baja fricción y reserva suficiente, debido a que el predio cuenta con 4 pisos y aún no se define la ubicación del módem.No se generan daños ni afectaciones en el predio. Técnico: César Hernández.</t>
  </si>
  <si>
    <t>CC-1030649327</t>
  </si>
  <si>
    <t>LUIS FELIPE BEJARANO SANCHEZ</t>
  </si>
  <si>
    <t>AK 60 67A 51 PI 2</t>
  </si>
  <si>
    <t>Orden Cancelada
MDM-FIBRA-020094573
Cuadrilla en predio. No se permite el ingreso del técnico para realizar la gestión. Se logra establecer contacto telefónico con el cliente LUIS FELIPE BEJARANO SANCHEZ (314 211 7534), quien manifiesta, de manera molesta, que ya realizó la contratación con otro operador, por lo cual solicita la cancelación del servicio. Técnico: Freddy Corredor</t>
  </si>
  <si>
    <t>CC-1015450027</t>
  </si>
  <si>
    <t>MARIA ANGELICA CARDENAS AVILA</t>
  </si>
  <si>
    <t>KR 114A 77D 20 TO 3 AP 1101</t>
  </si>
  <si>
    <t>se valida única ruta de acceso presenta obstruccion entre cdp cableado existente atascado</t>
  </si>
  <si>
    <t>Orden Solucionada
MDM-FIBRA-020052172
Se instalan 30 metros de drop de baja fricción, desde la caja de paso, utilizando el ducto de citofonía. El tendido se realiza hasta la toma de la cocina, posteriormente se continúa hacia la toma telefónica ubicada en la sala y, desde allí, hasta el estudio, donde el usuario solicita el servicio.
Se valida la ruta de TV, encontrando viabilidad para la instalación de los puntos de TV.
Durante la instalación de la fibra óptica no se generan daños en la infraestructura ni en los acabados del inmueble. Técnico EDWIN DIAZ</t>
  </si>
  <si>
    <t>CC-1012337705</t>
  </si>
  <si>
    <t>FAIBER ANDRES OÑATE NIÑO</t>
  </si>
  <si>
    <t>KR 95A 34 39 SUR IN 48 AP 502</t>
  </si>
  <si>
    <t>Obstrucción en paso de sonda desde la caja de paso hasta la cámara donde se encuentra el nap
Se requiere apoyo de cuadrilla</t>
  </si>
  <si>
    <t>Aplazamiento
MDM-FIBRA-020097038
Orden en validación. Debido a los tiempos establecidos por la administración del conjunto, no fue posible continuar con la gestión durante la visita. El titular solicita reagendar la visita para el día lunes en jornada PM.</t>
  </si>
  <si>
    <t>CC-1020732941</t>
  </si>
  <si>
    <t>CARLOS GUSTAVO NIÑO SUAREZ</t>
  </si>
  <si>
    <t>CL 83A 116A 85 IN 173</t>
  </si>
  <si>
    <t>e valida ruta de acceso a predio presenta obstruccion entre cdp cables existente no se mueven</t>
  </si>
  <si>
    <t>SOLUCIONADA
MDM-FIBRA-020095711
Se llega al predio y se establece contacto con el usuario, quien autoriza el ingreso para realizar la respectiva validación técnica.  Se realiza la validación y se verifica la ruta desde la NAP asignada hasta el predio, evidenciando que existe una ruta disponible. Se procede con el tendido de fibra desde la NAP hasta el punto requerido por el cliente, ubicado en el segundo piso.  Durante el recorrido, la fibra pasa por 3 cajas, 3 cámaras y 2 tomas. Se deja la fibra en punta desde la NAP hasta el punto destinado para la instalación del servicio en el segundo piso. Los trabajos se realizan de manera satisfactoria, sin generar daños ni afectaciones en el predio. Tecnico Jesus Silva</t>
  </si>
  <si>
    <t>CC-1011083325</t>
  </si>
  <si>
    <t>SEBASTIAN DAVID PAEZ HUAZA</t>
  </si>
  <si>
    <t>CL 19A 91 05 LC 31</t>
  </si>
  <si>
    <t>se valida única ruta de acceso a predio presenta obstrucción entre cdp sonda se atasca</t>
  </si>
  <si>
    <t>MDM-FIBRA 020105949
ORDEN NO VIABLE
Se llega al predio y se cuenta con autorización del usuario para realizar la validación. Se evidencia ductería obstruida, siendo esta la única ruta disponible desde el local hasta la NAP asignada. Se realiza sondeo desde el interior hacia el exterior, encontrando obstrucción a los 15 cm. Se valida la ruta desde la NAP hasta el foso, donde se identifica continuidad del ducto hacia el local. No se encuentran rutas adicionales viables y no se autoriza el tendido de cable figurado por zonas comunes. Tecnico Cesar</t>
  </si>
  <si>
    <t>PPT-5760266</t>
  </si>
  <si>
    <t>MARIANNI CIRSTINA GARCIA DE MEDINA</t>
  </si>
  <si>
    <t>CL 7 90 76 CA 168</t>
  </si>
  <si>
    <t>obstrucción entre caja de paso para llegar a la nap sonda avanza aproximadamente 4 m y tranca</t>
  </si>
  <si>
    <t>¨HILADO SOLUCIONADO
MDM-FIBRA 020106469 –
Se llega al predio y se establece contacto con el usuario, quien autoriza la validación técnica. Se evidencia ductería obstruida, por lo cual se realiza sondeo aplicando jabón líquido y agua caliente, complementando el procedimiento con 2 pescas, logrando habilitar la ruta. Se realiza tendido de hilado desde la NAP preconectorizada, pasando por 2 cajas de paso peatonales canalizadas y 2 cajas murales, ingresando al predio por la toma principal de la sala y dejando el hilado en el punto requerido por el cliente. Los trabajos se realizan satisfactoriamente, sin generar daños ni afectaciones en el predio. Como siguiente paso, puedes agregar el nombre del técnico y los metros de hilado utilizados si necesitas dejar el reporte completo para cierre de la orden. Tenico Cesar Hernandez</t>
  </si>
  <si>
    <t>CC-1115083916</t>
  </si>
  <si>
    <t>LEIDY JHOANA GILON AVENDAÑO</t>
  </si>
  <si>
    <t>CL 157C 91 86 TO 2 AP 606</t>
  </si>
  <si>
    <t>uctería obstruida no pasa sonda</t>
  </si>
  <si>
    <t>ORDEN SOLUCIONADA
MDM-FIBRA 020083461 
Se instalan 21 metros de drop de baja fricción desde la caja de paso, utilizando ductería de TV. Se realiza recorrido hasta la toma principal, habitación principal y toma de TV de la sala, dejando la respectiva reserva para la instalación del servicio. Se valida la toma telefónica, evidenciando que la toma principal presenta obstrucción o desacople de ductería. Se verifica la toma de TV, encontrando viabilidad para el servicio. Técnico: Edwin Diaz</t>
  </si>
  <si>
    <t>MDM-FIBRA-020080338
No contactado
Cuadrilla en predio se marca a contactos sin respuesta, seguridad indica que no hay nadie.</t>
  </si>
  <si>
    <t>CC-1032487622</t>
  </si>
  <si>
    <t>CAMILA ANDREA TORRES LOPEZ</t>
  </si>
  <si>
    <t>KR 75 3A 29 AP 304</t>
  </si>
  <si>
    <t>no hay caja fachada en predio, no hay como posicionar la escalera en predio ya que tiene el garaje sobresaliente, tiene cajas de pasillo se sondea no tiene destino, no hay llaves de la terraza para poder tender por ahí</t>
  </si>
  <si>
    <t>*NO VIABLE*     MDM-FIBRA-020055493 /  DIFICULTAD TENDIDO HOME CONECT / no hay caja fachada en predio, no hay como posicionar la escalera en predio ya que tiene el garaje sobresaliente, tiene cajas de pasillo se sondea no tiene destino, no hay llaves de la terraza para poder tender por ahí, NO  VIABLE NO APLICA CUADRILLA /  TECNICO RAFAEL /  SUP YEISON</t>
  </si>
  <si>
    <t>*INFORMATIVO*    MDM-FIBRA-020108177  se debe realizar trabajo sobre tejado cosa que no tenemos permitido por seguridad industrial se le ofrecen rutas alternas al cliente el cual no acepta VALIDA SUPERVISOR SEBASTIAN SANTOS</t>
  </si>
  <si>
    <t>*NO VIABLE**INFORMATIVO*    MDM-FIBRA-020108177  se debe realizar trabajo sobre tejado cosa que no tenemos permitido por seguridad industrial se le ofrecen rutas alternas al cliente el cual no acepta VALIDA SUPERVISOR SEBASTIAN SANTOS</t>
  </si>
  <si>
    <t>CC-52702819</t>
  </si>
  <si>
    <t>CAROLINA MONSALVE BUITRAGO</t>
  </si>
  <si>
    <t>KR 2 ESTE 44A 68</t>
  </si>
  <si>
    <t>distancia de nap asiganada a predio 273 MTS, cerca a predio nap =N1CU18_E6 cambia la molécula</t>
  </si>
  <si>
    <t>No viable//distancia de nap asiganada a predio 273 MTS, cerca a predio nap =N1CU18_E6 cambia la molécula</t>
  </si>
  <si>
    <t>MDM-FIBRA-020084790</t>
  </si>
  <si>
    <t>MDM-FIBRA-020077445</t>
  </si>
  <si>
    <t>MDM-FIBRA-020100355</t>
  </si>
  <si>
    <t>MDM-FIBRA-020024427</t>
  </si>
  <si>
    <t>MDM-FIBRA-020098330</t>
  </si>
  <si>
    <t>MDM-FIBRA-020101767</t>
  </si>
  <si>
    <t>MDM-FIBRA-020065550</t>
  </si>
  <si>
    <t>MDM-FIBRA-020104796</t>
  </si>
  <si>
    <t>MDM-FIBRA-020100310</t>
  </si>
  <si>
    <t>MDM-FIBRA-020097468</t>
  </si>
  <si>
    <t>MDM-FIBRA-020077859</t>
  </si>
  <si>
    <t>MDM-FIBRA-020109827</t>
  </si>
  <si>
    <t>Orden Cancelada
MDM-FIBRA-020068332
Cuadrilla en predio se marca contacto sra MARIA PAULA DOMINGUEZ VELEZ indica que decidio cancelar el servicio.</t>
  </si>
  <si>
    <t>CC-1010228001</t>
  </si>
  <si>
    <t>SERGIO NICOLAS ROMERO ROMERO</t>
  </si>
  <si>
    <t>CL 8 10 02 CA 32</t>
  </si>
  <si>
    <t xml:space="preserve">Ducteria obstruida  </t>
  </si>
  <si>
    <t>MADRID</t>
  </si>
  <si>
    <t>Orden No viable
MDM-FIBRA-020084790
Cuadrilla en predio, se raliza validacion y sondeo encontrando obstruccion en cajas, cables existentes no se mueven. se lubrica ducteria, no se logra pasar. Cliente indica que validara el tema con administracion. No se generan daños ni pérdidas durante la validacion. autoriza supervisor yeison martinez.</t>
  </si>
  <si>
    <t>CC-1003519804</t>
  </si>
  <si>
    <t>GISELL ALEJANDRA RINCON ORTIZ</t>
  </si>
  <si>
    <t>CL 2 89D 37 CA 37</t>
  </si>
  <si>
    <t>Se solicita apoyo de cuadrilla ya que la sonda no pasa desde la toma de ingreso al predio hasta la primera toma de distribución</t>
  </si>
  <si>
    <t>*Orden No viable*
MDM-FIBRA-020077445
Se realiza validacion y sondeo desde caja telefonica, se evidencia cable de cobre no se mueve, se envía sonda se escucha golpear en la pared antes de la caja de paso ubicada en la fachada, cliente indica que hace 2 años hicieron el cambio de piso en el jardin. La sonda ingresa aproximadamente 3mts y no avanza más se escucha en la pared. No se generan daños ni pérdidas durante la validacion. autoriza supervisor yeison martinez.</t>
  </si>
  <si>
    <t>CC-51943262</t>
  </si>
  <si>
    <t>MARIA YOLANDA VELASQUEZ VILLARRAGA</t>
  </si>
  <si>
    <t>CL 10 79 85 TO 22 AP 159</t>
  </si>
  <si>
    <t>obstruccion interna con comunicación hacia el predio, se envía sonda en los dos sentidos pero no llega la sonda por ningún lado</t>
  </si>
  <si>
    <t>Orden Solucionada
MDM-FIBRA-020100355
Se realiza validación y sondeo desde caja telefonica, hasta llegar a caja de paso en fachada hasta llegar a strip telefonico de la antigua red de cobre, y desde alli hasta llegar a la nap asignada. En predio se deja donde es requerido. Se realiza tendido 20 Mts Baja Fríccion. No se generan daños ni pérdidas durante la instalacion. Tecnico luis hoyos.</t>
  </si>
  <si>
    <t>CC-24317805</t>
  </si>
  <si>
    <t>MARLENE GARCIA DIAZ</t>
  </si>
  <si>
    <t>CL 179 76 60 CA 4</t>
  </si>
  <si>
    <t>Aplazamiento
MDM-FIBRA-020024427
Cuadrilla en predio se marca a contacto, sra MARLENE GARCIA DIAZ, indica que no puede atender, solicita reprogramar para el dia 28-08 en am</t>
  </si>
  <si>
    <t>CC-1069432276</t>
  </si>
  <si>
    <t>ANYELO SMITH RIVERA PINZON</t>
  </si>
  <si>
    <t>CL 8C 92 72 CA 147</t>
  </si>
  <si>
    <t>obstruccion entre cajas de comunicación a predio sonda avanza aproximadamente 4 metros y tranca la sonda no avanza más</t>
  </si>
  <si>
    <t>Orden No viable
MDM-FIBRA-020098330
Se realiza validacion y sondeo desde caja telefonica saliendo a caja de paso en fachada, se evidencia servicio de claro y movistar en el mismo ducto, se envía sonda ingresa aproximadamente 4mts y no avanza más, se obtuvo ruta desde la nap, cruzando por strip telefonico hasta llegar 2 caja de paso, desde la caja de paso hacia el predio se encuentra obstruccion, no se logra pasar. No se generan daños ni pérdidas durante la validacion. autoriza supervisor yeison martinez.</t>
  </si>
  <si>
    <t>CC-1098790889</t>
  </si>
  <si>
    <t>JEISSON ANDRES JAIMES MESIAS</t>
  </si>
  <si>
    <t>CL 144C 141A 48 BQ 1 CA 10</t>
  </si>
  <si>
    <t>Comentarios / observación: Ductería obstruida no pasa sonda</t>
  </si>
  <si>
    <t>MDM-FIBRA-020101767
No contactado
Cuadrilla en predio, recorredor del conjunto indica que no hay nadie en predio, se marca a contactos sin respuesta</t>
  </si>
  <si>
    <t>CC-80169206</t>
  </si>
  <si>
    <t>GEYSON MANUEL LOZANO DELGADO</t>
  </si>
  <si>
    <t>KR 80A 17 85 ET 2 TO 5 AP 220</t>
  </si>
  <si>
    <t xml:space="preserve">obstrucción entre tuberías de paso se hace validación donde se encuentran cables guía pero no se mueven para ningún lado se hace ingreso con sonda la cual avanza aproximadamente 2 metros </t>
  </si>
  <si>
    <t>Orden Solucionada
MDM-FIBRA-020065550
Se llega a predio, se habla con el usuario, se realiza validación y se busca la ruta desde la nap asignada hasta el predio. se tiende fibra desde la nap hasta el  punto requerido por el cliente. Se gastan 50 MTS de fibra drop de baja fricción. No se generan daños ni pérdidas durante la instalacion. Tecnico jesus silva.</t>
  </si>
  <si>
    <t>CC-1020724931</t>
  </si>
  <si>
    <t>CLAUDIO NISSIM TANTIMONACO MITRANI</t>
  </si>
  <si>
    <t>CL 97A 11 31 AP S102</t>
  </si>
  <si>
    <t xml:space="preserve"> Por favor escalar 1502 se valida ruta de acceso a predio se encuentra obstruccion se requiere cuadrilla de quiebre</t>
  </si>
  <si>
    <t xml:space="preserve">*Orden Solucionada*
MDM-FIBRA-020104796
Se instalan 18 mtrs de drop de baja fricción desde la caja de paso hasta la toma principal ubicada al lado de la cocina,  por reformas solo hay una de TV en cuarto principal y una de citofono .hablamos con el usuario y acepta dejar la fibra en esta toma dejando más reserva  ya que cliente desea alidar una mejor ubicación ya que no hay más tomas. No se generan daños ni pérdidas durante la instalacion. Tecnico edwin diaz. </t>
  </si>
  <si>
    <t>CC-1013657969</t>
  </si>
  <si>
    <t>CAMILO ANDRES TRILLEROS HERRERA</t>
  </si>
  <si>
    <t>KR 54B 175 30 TO 2 AP 219</t>
  </si>
  <si>
    <t xml:space="preserve"> Por favor escalar 1502 se valida ruta de acceso a predio se encuentra obstruccionobstrucción en ducteria presentada entre caja de paso de ingreso y predio</t>
  </si>
  <si>
    <t xml:space="preserve">*Aplazamiento*
MDM-FIBRA-020100310
Cuadrilla en predio, se marca a contacto sr CAMILO ANDRES TRILLEROS HERRERA indica que no puede atender, solicita reprogramar para el dia 25-08 en am </t>
  </si>
  <si>
    <t>CC-1014247070</t>
  </si>
  <si>
    <t>NATHALY FORERO BERMUDEZ</t>
  </si>
  <si>
    <t>CL 83 103C 55 IN 1 AP 502</t>
  </si>
  <si>
    <t>Porfa or escalar 1502 se valida única ruta de acceso a predio presenta obstrucción entre cdp cables existente no se mueven</t>
  </si>
  <si>
    <t>Orden Solucionada
MDM-FIBRA-020097468
Se llega a predio, se habla con el usuario el cual autoriza realizar validación. Se evidencia ducteria obstruida ,se aplica jabón líquido y agua caliente dentro del predio y en cajas de paso de pasillo. Se extiende fibra desde la CT que queda en cuarto debajo de las escaleras de acceso al bloque. sube piso a piso hasta el 5,  ingresa a predio por toma principal de la sala, se lleva a cuarto de estudio por perforación realizada y se deja en punto requerido. Se gastan 40 mts de Baja Fricción. No se generan daños ni pérdidas durante la instalacion. Tecnico cesar hernandez.</t>
  </si>
  <si>
    <t>CC-51705636</t>
  </si>
  <si>
    <t>MARIA SONIA CASTAÑEDA CASTAÑEDA</t>
  </si>
  <si>
    <t>KR 98B 69 06 SUR IN 202</t>
  </si>
  <si>
    <t xml:space="preserve">  Se envía sonda la cual no pasa solo pasa un poquito tenemos un cable guía el cual se jala pero no se mueve ni un poquito y de la fuerza que se le hizo se alcanzó a totiar se necesita cuadrilla de quiebre</t>
  </si>
  <si>
    <t xml:space="preserve">*Orden Solucionada*
MDM-FIBRA-020077859
Se ingresa al cliente, se realiza validacion y sondeo encontrando viabilidad con *cambio de NAP= =N2HO10_H2*. se realiza tendido de fibra óptica desde el punto requerido por el cliente saliendo por canaleta en fachada y posteriormente llegando a la caja de distribución en fachada, luego al strip telefónico y bajando a la caja CPS donde se encuentra la nap asignada. Se gastan 40 MTS de F.O de baja fricción. No se generan daños ni pérdidas durante la instalacion. Tecnico fredy corredor. </t>
  </si>
  <si>
    <t>Aplazamiento
MDM-FIBRA-020097038
Por horario de administracion no pemriten labores, cliente solicita reprogramar para el dia 25-08 en am</t>
  </si>
  <si>
    <t>CC-1017125495</t>
  </si>
  <si>
    <t>JUAN ESTEBAN PINEDA VALDERRAMA</t>
  </si>
  <si>
    <t>DG 40A 8 65 AP 504</t>
  </si>
  <si>
    <t xml:space="preserve">se relaiza sondeo desde la canalizacion encontrando obatruccion </t>
  </si>
  <si>
    <t xml:space="preserve">*Orden Solucionada*
MDM-FIBRA-020109827
Se instalan 38 MTRS de drop de baja fricción desde la toma de la sala, salimos perfilando por el guardescobas hasta perforacion existente en el muro de la puerta,  luego por encima del techo hacia un tubo galvanizado debajo del piso 6 hasta la caja de paso del piso 6,  luego hasta el piso 2 donde hay varias cajas de paso  dejamos la reserva para la instalación del servicio. No se generan daños ni pérdidas durante la instalacion. Tecnico edwin diaz. </t>
  </si>
  <si>
    <t>KCC-80051075</t>
  </si>
  <si>
    <t>CC-80251607</t>
  </si>
  <si>
    <t>CC-1031179140</t>
  </si>
  <si>
    <t>CC-1031809788</t>
  </si>
  <si>
    <t>CC-1022350790</t>
  </si>
  <si>
    <t>CC-1004083508</t>
  </si>
  <si>
    <t>CC-52520294</t>
  </si>
  <si>
    <t>CC-1015421150</t>
  </si>
  <si>
    <t>CC-1133775525</t>
  </si>
  <si>
    <t>CC-1007701900</t>
  </si>
  <si>
    <t>CC-1001181225</t>
  </si>
  <si>
    <t>MDM-FIBRA-020093083</t>
  </si>
  <si>
    <t>MDM-FIBRA-020095949</t>
  </si>
  <si>
    <t>MDM-FIBRA-020104067</t>
  </si>
  <si>
    <t>MDM-FIBRA-020105356</t>
  </si>
  <si>
    <t>MDM-FIBRA-020104834</t>
  </si>
  <si>
    <t>MDM-FIBRA-020110616</t>
  </si>
  <si>
    <t>MDM-FIBRA-020102747</t>
  </si>
  <si>
    <t>MDM-FIBRA-020112783</t>
  </si>
  <si>
    <t>MDM-FIBRA-020112175</t>
  </si>
  <si>
    <t>MDM-FIBRA-020100374</t>
  </si>
  <si>
    <t>MDM-FIBRA-020117075</t>
  </si>
  <si>
    <t>MDM-FIBRA-020074008</t>
  </si>
  <si>
    <t>MDM-FIBRA-020115814</t>
  </si>
  <si>
    <t>*Orden Solucionada*
MDM-FIBRA-020083696
Se llega a predio, se habla con el usuario el cual autoriza realizar validación. se evidencia ducteria telefonica obstruida, se busca ruta alterna por foso. se tiende fibra desde la nap que queda en sótano del parqueadero, se figura por techo como van los otros cables. sube por foso 1 a salir a terraza, se figura por borde. se llega a foso 2,  baja a piso 5, se saca por baño, se figura por borde de techo, ingresa a alcoba por perforación realizada, se figura hasta llegar a la sala y se deja en punto requerido. Se gastan 70 mts de Baja Fricción. No se generan daños ni pérdidas durante la instalacion. Tecnico cesar hernandez</t>
  </si>
  <si>
    <t>CC-79737082</t>
  </si>
  <si>
    <t>JUAN RESTREPO HERNANDEZ</t>
  </si>
  <si>
    <t>KR 3 1B 56 AP 805</t>
  </si>
  <si>
    <t xml:space="preserve"> Orden no se puede realizar ya que el tendido se realiza desde el apartamento directamente hasta la nap que está en el primer piso se envia la sonda y no pasa se tranca no hay más rutas para enviarla</t>
  </si>
  <si>
    <t>*Orden Solucionada*
MDM-FIBRA-020093083
se llega a predio, se habla con el usuario el cual autoriza realizar validación. se evidencia ducteria canalizada obstruida, se aplica jabón líquido dentro del predio y por último se realizan varias pescas. se tiende fibra desde la nap asignada, pasando por 6 cajas de paso peatonal (canalizado) sube a piso 8 a salir a caja de paso en cocina. se envía por 2 alcobas por ducteria interna a salír a la sala y se deja en punto requerido . No se generan daños ni pérdidas durante la instalacion. Tecnico cesar hernandez</t>
  </si>
  <si>
    <t>CC-1233502476</t>
  </si>
  <si>
    <t>ANDREA MILENA CANO RODRIGUEZ</t>
  </si>
  <si>
    <t>CL 2 89D 37 CA 148</t>
  </si>
  <si>
    <t xml:space="preserve"> Tec Rangel realiza validacion, encuentra obstrucción entre cámaras, toca cablear de pto a nap</t>
  </si>
  <si>
    <t>Orden No viable
MDM-FIBRA-020095949
Se realiza validacion y sondeo desde caja telefonica, se envía sonda hasta llegar a caja fachada donde se evidencia cable neopreno, sonda tranca, La nap asignada esta al frente al predio, pero  en la caja no se ve paso hacia la casa 148 ya que esa caja alimenta  otra cuadra y no la cuadra donde esta la casa. No se generan daños ni pérdidas durante la validacion. autoriza supervisor yeison martinez</t>
  </si>
  <si>
    <t>CC-1015442042</t>
  </si>
  <si>
    <t>ALEJANDRO DAVILA CASTAÑEDA</t>
  </si>
  <si>
    <t>KR 72 63D 14 LC 101</t>
  </si>
  <si>
    <t>bstrucción caja de pasillo a toma principal de teléfono, único ingreso, sonda tranca, cables no se mueven /  TECNICO CASAS /  SUP YEISON</t>
  </si>
  <si>
    <t>Aplazamiento
MDM-FIBRA-020104067
Cuadrilla en predio se marca a contacto sr ALEJANDRO DAVILA CASTAÑEDAindica que solicito visita para el dia 29-08 en am.</t>
  </si>
  <si>
    <t>CC-1090490765</t>
  </si>
  <si>
    <t>KELY YOBANA MORENO ALFONSO</t>
  </si>
  <si>
    <t>CL 69A 83 47 PI 3</t>
  </si>
  <si>
    <t>Porfavor esclar1502 se valida obstruccion entre cdp por la única ruta de acceso para salir de fachada amhcia nap</t>
  </si>
  <si>
    <t>*Orden Solucionada*
MDM-FIBRA-020105356
Se ingresa al cliente se validan tomas telefónicas y caja de distribución en pasillo, se realiza sondeo de ductos se logra pasar.  Se realiza tendido de fibra óptica desde el punto requerido por el cliente saliendo a la caja de distribución en pasillo y posteriormente saliendo a la fachada, llegando al poste donde se encuentra la nap asignada. Se gastan 50 mts de F.O f8- 1 herraje. No se generan daños ni pérdidas durante la instalacion. Tecnico fredy corredor</t>
  </si>
  <si>
    <t>50 f8</t>
  </si>
  <si>
    <t>*Orden Solucionada*
MDM-FIBRA-020100310
Se instalan 41 MTRS de drop de baja fricción desde la caja de paso,  por ducto de TV enviamos el drop hasta la toma principal .luego hasta la toma de la habitación donde usuario solicita el servicio.
No se generan daños ni pérdidas durante la instalacion. Tecnico edwin diaz</t>
  </si>
  <si>
    <t>CC-52073304</t>
  </si>
  <si>
    <t>NANCY AMPARO BOLIVAR VARGAS</t>
  </si>
  <si>
    <t>KR 73 57R 15 SUR TO 27 AP 501</t>
  </si>
  <si>
    <t xml:space="preserve">tubería obstruida para poder pasar la fibra  </t>
  </si>
  <si>
    <t>*Orden Cancelada*
MDM-FIBRA-020104834
Cuadrilla en prdio se marca a contacto 3174352929 cliente indcia que decidio cancelar el servicio, no da mas informacion.</t>
  </si>
  <si>
    <t>CC-1030542101</t>
  </si>
  <si>
    <t>JOHAN ANDREY CHALA SANCHEZ</t>
  </si>
  <si>
    <t>CL 78 78 19 AP 504</t>
  </si>
  <si>
    <t>se valida obstruccion entre cdp única ruta de acceso a predio cables existentes no se pueden retirar</t>
  </si>
  <si>
    <t>*Orden Solucionada*
MDM-FIBRA-020110616
Se ingresa al cliente,  se validan tomas telefónicas y caja de distribución en pasillo, Se realiza sondeo de ductos se logra pasar la sonda; se realiza el tendido de fibra óptica desde el punto requerido por el cliente saliendo a la caja de distribución en pasillo y bajando por siete cajas más y posteriormente saliendo a fachada, pasando por dos postes llegando a la nap asignada. Se gastan 140 mts de F.O de f8- 4 herrajes. No se generan daños ni pérdidas durante la instalacion. Tecnico fredy corredor</t>
  </si>
  <si>
    <t>140 F8</t>
  </si>
  <si>
    <t>CC-51650962</t>
  </si>
  <si>
    <t>MARIA CELMIRA MARTINEZ TRASLAVIÑA</t>
  </si>
  <si>
    <t>CL 81 114 25 IN 5 AP 203</t>
  </si>
  <si>
    <t>se ve da única ruta de acceso a predio presenta obstrucción Hay que cablear de pto a nap ductos se comparten con otros operadores</t>
  </si>
  <si>
    <t>*Orden Solucionada*
MDM-FIBRA-020102747
Se ingresa al cliente, se validan tomas telefónicas y caja de distribución en pasillo, se realiza sondeo de ductos, se logra pasar la sonda utilizando suavizantes, se realiza tendido de fibra óptica desde el punto requerido por el cliente saliendo a la caja de distribución en pasillo, bajando al primer piso y saliendo a la caja CPD donde se encuentra la nap asignada. Se gastan 40 MTS de F.O de baja fricción. No se generan daños ni pérdidas durante la instalacion. Tecnico freddy corredor</t>
  </si>
  <si>
    <t>Orden Solucionada
MDM-FIBRA-020080338
Se llega a predio, se habla con el usuario, se realiza validación y se busca la ruta desde la nap asignada hasta el predio. se deja fibra en punta en nap y de alli hasta donde se va a dejar el servicio. Se gastan 50 MTS de fibra drop de baja fricción. No se generan daños ni pérdidas durante la instalacion. Tecnico jesus silva</t>
  </si>
  <si>
    <t>CC-1007378708</t>
  </si>
  <si>
    <t>VALENTINA MORENO RUIZ</t>
  </si>
  <si>
    <t>CL 55A SUR 77H 70 BQ 2 AP 301</t>
  </si>
  <si>
    <t>Ducteria obstruida para realizar instalación desde cámara a poste enel por donde van las demás acometidas</t>
  </si>
  <si>
    <t>Aplazamiento
MDM-FIBRA-020112783
Cuadrilla en predio, se marca a contacto sra VALENTINA MORENO RUIZ solicita reprogramar visita para el dia sabado 29-08 en am</t>
  </si>
  <si>
    <t>CC-1026588696</t>
  </si>
  <si>
    <t>JHON STEVEN LOPEZ SOLANO</t>
  </si>
  <si>
    <t>CL 165 50 28 IN 5 AP 118</t>
  </si>
  <si>
    <t>*Orden Solucionada*
MDM-FIBRA-020112175
Se instalan 17 mtrs de drop de baja fricción desde la caja de paso por ducto de TV enviamos el drop hasta la toma del estudio donde usuario solicita el servicio. No se generan daños ni pérdidas durante la instalacion. Tecnico Edwin diaz</t>
  </si>
  <si>
    <t>Orden Solucionada
hilado
MDM-FIBRA-020097038
Se llega a predio, se habla con el usuario, se realiza validación y sondeo se busca la ruta desde  NAP PRECONECTORIZADA. Se realiza hilado, se pasa por 4 camaras, 1 telefónico, 4 caja y  toma. Desde allí hasta donde se va a dejar el servicio en 2 piso. No se generan daños ni pérdidas durante la instalacion. Tecnico jesus silva</t>
  </si>
  <si>
    <t>CC-1110577766</t>
  </si>
  <si>
    <t>VALERIA MUÑOZ GOMEZ</t>
  </si>
  <si>
    <t>CL 151C 109A 50 CA 238</t>
  </si>
  <si>
    <t>ducteria obstruida no pasa sonda se requiere ecuadrilla de quiebre</t>
  </si>
  <si>
    <t>Gestionada Orden no viable
MDM-FIBRA-017405915
Se llega a predio, se empieza validación y sondeo desde  nap asignada, bajando por tubería hasta llegar a la caja de paso en piso, pasando por caja de paso en fachada en cascada hasta la casa 236. el ducto está en obstrucción, la sonda ingresa aproximadamente 60 cm y no avanza más, se aplica jabón líquido pero no se ve ningún resultado, solo hay un tubo para llegar a predio y debido remodelación en piso se ha afectado la ducteria,  se obtuvo ruta desde la nap asignada hasta la caja de paso de la casa 236 ahí se intenta método pesca pero no se logra. No se generan daños ni pérdidas durante la validación. Autoriza supervisor German Mendoza.</t>
  </si>
  <si>
    <t>CC-79233664</t>
  </si>
  <si>
    <t>CARLOS JULIO RINCON ALEMAN</t>
  </si>
  <si>
    <t>CL 63B BIS 85 15 IN 2 AP 403</t>
  </si>
  <si>
    <t>se valida no se cuenta con ruta ni acometidas para llevar tendido de predio hasta nap</t>
  </si>
  <si>
    <t>No viable//se valida no se cuenta con ruta ni acometidas para llevar tendido de predio hasta nap</t>
  </si>
  <si>
    <t>CC-37861160</t>
  </si>
  <si>
    <t>IRLEY JOHANNA BONZA OLARTE</t>
  </si>
  <si>
    <t>CL 24A 69A 32 LC 15</t>
  </si>
  <si>
    <t>e evidencia que remodelaron el local y taparon la tuberia de teléfono que es la.unica que comunica al sotano, es la unica comunicación al local, impidiendo asi la instalación del servicio</t>
  </si>
  <si>
    <t>No viable//e evidencia que remodelaron el local y taparon la tuberia de teléfono que es la.unica que comunica al sotano, es la unica comunicación al local, impidiendo asi la instalación del servicio</t>
  </si>
  <si>
    <t>CC-1026302102</t>
  </si>
  <si>
    <t>CARLOS ANDRES DIAZ AVENDAÑO</t>
  </si>
  <si>
    <t>KR 13A 24A 28 AP 104</t>
  </si>
  <si>
    <t>Inviable porque se requiere apoyo en fachadas de otros predios sin autorización. Se verifica y no tenemos tubos de acceso de la nap hacia las fachadas no hay como llegar hasta el predio</t>
  </si>
  <si>
    <t>No viable//Inviable porque se requiere apoyo en fachadas de otros predios sin autorización. Se verifica y no tenemos tubos de acceso de la nap hacia las fachadas no hay como llegar hasta el predio</t>
  </si>
  <si>
    <t>MDM-FIBRA-020086886</t>
  </si>
  <si>
    <t>MDM-FIBRA-020107468</t>
  </si>
  <si>
    <t>MDM-FIBRA-020109938</t>
  </si>
  <si>
    <t>MDM-FIBRA-020112497</t>
  </si>
  <si>
    <t>MDM-FIBRA-020103547</t>
  </si>
  <si>
    <t>MDM-FIBRA-020097197</t>
  </si>
  <si>
    <t>MDM-FIBRA-020114983</t>
  </si>
  <si>
    <t>MDM-FIBRA-020111878</t>
  </si>
  <si>
    <t>MDM-FIBRA-020115413</t>
  </si>
  <si>
    <t>MDM-FIBRA-020113789</t>
  </si>
  <si>
    <t>MDM-FIBRA-020124077</t>
  </si>
  <si>
    <t>MDM-FIBRA-020122828</t>
  </si>
  <si>
    <t>MDM-FIBRA-020111450</t>
  </si>
  <si>
    <t>MDM-FIBRA-020124303</t>
  </si>
  <si>
    <t>CC-1001941740</t>
  </si>
  <si>
    <t>DALITH JESUS HERNANDEZ ROMERO</t>
  </si>
  <si>
    <t>DG 46A SUR 51D 95 PI 3</t>
  </si>
  <si>
    <t>Orden No viable
MDM-FIBRA-020086886
Se llega a predio se realiza validacion y sondeo desde caja telefonica donde se evidencia que los ductos van hacia arriba, se envía sonda d ingresa más de 10 mts y sigue avanzando, ya que la distancia de la caja telefonica hacia la caja de paso solo hay 5mts y la sonda sigue avanzando. Se valida desde la caja de paso sonda se escucha en techo drywall, el techo no cuenta con cajas de paso y las lamparas no se pueden tocar orden del Administrador del edificio. No se generan daños ni pérdidas durante la validacion. autoriza supervisor yeison martinez.</t>
  </si>
  <si>
    <t>CC-1016092233</t>
  </si>
  <si>
    <t>ASHLEY NATALIA ARAGON DIAZ</t>
  </si>
  <si>
    <t>KR 62 64 75 BQ D IN 18</t>
  </si>
  <si>
    <t>No contactado
MDM-FIBRA-020107468
Cuadrilla en predio, seguridad indica que no hay nadie. Se marca a numeros de contactos 3203268416 (correo de voz) 3214522816 no responde</t>
  </si>
  <si>
    <t>CC-1121831342</t>
  </si>
  <si>
    <t>DIANA MAYERLY ESPINOSA PEÑA</t>
  </si>
  <si>
    <t>KR 87B 8A 72 TO 4 AP 516</t>
  </si>
  <si>
    <t>se evidencia dificultad para tender la fibra a desde toma de ingreso a caja de distribución de piso,  debido a un tubo desencajado, se requiere apoyo de cuadrilla</t>
  </si>
  <si>
    <t>No contactado
MDM-FIBRA-020109938
Cuadrilla en predio, seguridad indica que no hay nadie. Se marca a numero de contactos 3138714773 no responde</t>
  </si>
  <si>
    <t>CL 2 93D 35 TO 10 AP 501</t>
  </si>
  <si>
    <t xml:space="preserve"> presentamos obstrucción entre la caja de paso del primer piso y la cámara donde se encuentra el NAP/CTO asignado,</t>
  </si>
  <si>
    <t>Orden Solucionada
Hilado
MDM-FIBRA-020112497
Se ingresa al cliente, se validan tomas telefónicas y caja de distribución en pasillo, se realiza sondeo de ductos se logra pasar la sonda y se valida ruta. se realiza hilado desde el punto requerido por el cliente saliendo a la caja de distribución en pasillo y posteriormente bajando por cuatro cajas más hasta llegar al primer piso, saliendo a la cámara de codensa donde se encuentra la ct asignada. No se generan daños ni pérdidas durante la instalacion. Tecnico Fredy corredor</t>
  </si>
  <si>
    <t>CC-52528493</t>
  </si>
  <si>
    <t>INGRID YOLANDA BANDERA RIAÑO</t>
  </si>
  <si>
    <t>CL 5 SUR 78P 17 AP 302</t>
  </si>
  <si>
    <t>*Orden Solucionada*
MDM-FIBRA-020103547
Se realiza validacion y sondeo desde caja telefonica, cliente no cuenta con caja telefonica se realizó perforación en la esquina de una ventana para poder salir del apto,  baja hasta llegar al primer piso, se ingresa a strip telefonico, hasta llegar a nap asignada. Se gastan 30Mts Baja Fricción. No se generan daños ni pérdidas durante la instalacion. Tecnico luis hoyos.</t>
  </si>
  <si>
    <t>CC-1020771197</t>
  </si>
  <si>
    <t>DANIEL FERNANDEZ ALARCON</t>
  </si>
  <si>
    <t>CL 81 10 32 AP 201</t>
  </si>
  <si>
    <t>*Orden Cancelada*
MDM-FIBRA-020097197
Cuadrilla en predio, se marca a contacto 3118539784 sr DANIEL FERNANDEZ ALARCONindica que cancelo el servicio, solicita que no le marquen mas.</t>
  </si>
  <si>
    <t xml:space="preserve">*Orden Solucionada*
MDM-FIBRA-020055849
se instalan 17 mtrs de drop de baja fricción desde la caja de paso por ducto de telefonía hasta la toma principal en recepción donde solicita el servicio. No se generan daños ni pérdidas durante la instalacion. Tecnico Edwin diaz. *No se encontro dificultad en el tendido*
</t>
  </si>
  <si>
    <t>CC-1031124403</t>
  </si>
  <si>
    <t>NYDIA ZORAIDA LEON VELASQUEZ</t>
  </si>
  <si>
    <t>CL 49A SUR 37 22 AP 502</t>
  </si>
  <si>
    <t xml:space="preserve">tubería obstruida para poder pasar la fibra </t>
  </si>
  <si>
    <t>Aplazamiento
MDM-FIBRA-020114983
Cuadrilla en predio se marca a contacto 3196308460 sra NYDIA ZORAIDA LEON VELASQUEZ indica que no puede atender, solicita reprogramar para el dia 27-08 en am.</t>
  </si>
  <si>
    <t>CC-85475391</t>
  </si>
  <si>
    <t>YERSON ALFONSO FULA YEPES</t>
  </si>
  <si>
    <t>CL 187 BIS 20 45 CA 28</t>
  </si>
  <si>
    <t>Ductería obstruida no pasa sonda</t>
  </si>
  <si>
    <t>*Orden Solucionada*
MDM-FIBRA-020111878
Se llega a predio, se habla con el usuario el cual autoriza realizar validación. no se evidencian tomas telefónicas, de tv ni de citofonia. se busca ruta alterna por fachada. se tiende fibra desde la nap, pasando por 8 cajas de paso peatonal (canalizado) solo codensa internas del conjunto y 3 cajas de paso mural. se figura por guardaescobas de fachada dándole la vuelta por borde, ingresa a predio por perforación realizada en piso 3 a llegar a estudio y se deja en punto requerido. se gastan 140 mts de baja fricción. No se generan daños ni pérdidas durante la instalacion. Tecnico cesar hernandez</t>
  </si>
  <si>
    <t>CC-1019056199</t>
  </si>
  <si>
    <t>DANIEL MARIN SANZ</t>
  </si>
  <si>
    <t>CL 148 56A 55 IN 3 AP 303</t>
  </si>
  <si>
    <t xml:space="preserve">No hay comunicación entre las cajas y la sonda no pasa </t>
  </si>
  <si>
    <t>*Orden Solucionada*
MDM-FIBRA-020115413
Se llega a predio, se habla con el usuario el cual autoriza realizar validación. no se evidencian tomas telefónicas, se busca ruta por toma de tv. se aplica jabón líquido, agua caliente y por último se realiza pesca. se tiende fibra desde la pdp que queda en caja de paso de pasillo, ingresa a predio por toma de tv en pasillo interno, se llega a estudio y se deja en punto requerido por el cliente. 
se gastan 30 mts de baja fricción. No se generan daños ni pérdidas durante la instalacion. Tecnico cesar hernandez</t>
  </si>
  <si>
    <t>NIT-900127054</t>
  </si>
  <si>
    <t>INSTITUTO DISTRITAL DE LA PARTICIPACION Y ACCION COMUNAL</t>
  </si>
  <si>
    <t>DG 86A 103C 80 MJ</t>
  </si>
  <si>
    <t>se valida unica ruta de acceso a predio presenta obstrucción entre cdp cables existente no se mueven sonda choca se atasca toca cablear de pto a nap</t>
  </si>
  <si>
    <t>Orden Solucionada
MDM-FIBRA-020113789
Se llega a predio, se habla con el usuario, se realiza validación y se busca la ruta desde la nap, se pasa por 5 cámaras  y 1 toma. Se deja fibra en punta en nap y de alli hasta donde se va a dejar el servicio. Se gastan 180 MTS de fibra drop de baja fricción. No se generan daños ni pérdidas durante la instalacion. Tecnico Jesus silva</t>
  </si>
  <si>
    <t>CC-79156768</t>
  </si>
  <si>
    <t>ROBERTO MEJIA PARDO</t>
  </si>
  <si>
    <t>KR 7 84B 46 AP 301</t>
  </si>
  <si>
    <t>*Orden No viable*
MDM-FIBRA-020124077
Se válida toma principal del apartamento hacia la caja de paso, evidenciamos que la sonda ingresan aproximadamente 1.50 CM no pasa y de la caja de paso por ducto de telefonía la sonda alncaza a ingresar 1.50 CM y queda trancada. no hay más tomas por validar. No se generan daños ni pérdidas durante la validacion. autoriza supervisor yeison martinez.</t>
  </si>
  <si>
    <t>CC-80747188</t>
  </si>
  <si>
    <t>ALEXANDER GUERRA OSORIO</t>
  </si>
  <si>
    <t>CL 6A 87A 51 IN 7 AP 201</t>
  </si>
  <si>
    <t>no hay cómo realizar el tendido de la fibra el único atendido vial es por el tejado de el edificio no tenemos permitido trabajar sobre Tejas y no hay más nap cercanas para realizar la instalación</t>
  </si>
  <si>
    <t>No viable//no hay cómo realizar el tendido de la fibra el único atendido vial es por el tejado de el edificio no tenemos permitido trabajar sobre Tejas y no hay más nap cercanas para realizar la instalación</t>
  </si>
  <si>
    <t>CC-53103176</t>
  </si>
  <si>
    <t>MILENA ZAMBRANO JIMENEZ</t>
  </si>
  <si>
    <t>CL 82 112G 03</t>
  </si>
  <si>
    <t>se valida única ruta de acceso a predio presenta obstruccion toca cablear de pto a nap se envía sonda sin exito se atasca</t>
  </si>
  <si>
    <t>*Orden Solucionada*
MDM-FIBRA-020111450
Se llega a predio, se habla con el usuario, nos permite el ingreso para realizar la validación. se extiende fibra desde la nap, se pasa por 3 cámaras  hasta el  punto requerido por el cliente. Se gastan 140 MTS de fibra drop de baja fricción. No se generan daños ni pérdidas durante la instalacion. Tecnico Jesus silva</t>
  </si>
  <si>
    <t>MDM-FIBRA-020107799</t>
  </si>
  <si>
    <t>MDM-FIBRA-020114761</t>
  </si>
  <si>
    <t>MDM-FIBRA-020103028</t>
  </si>
  <si>
    <t>MDM-FIBRA-020120367</t>
  </si>
  <si>
    <t>MDM-FIBRA-020120849</t>
  </si>
  <si>
    <t>MDM-FIBRA-020123350</t>
  </si>
  <si>
    <t>MDM-FIBRA-020118325</t>
  </si>
  <si>
    <t>MDM-FIBRA-020112203</t>
  </si>
  <si>
    <t>MDM-FIBRA-020128197</t>
  </si>
  <si>
    <t>MDM-FIBRA-020127509</t>
  </si>
  <si>
    <t>*Orden Cancelada*
MDM-FIBRA-020067643
Cuadrilla en predio, se marca a contacto 3192973325 sr MARIO RODOLFO ACOSTA NAVARRETE, indica que decidio cancelar el servicio no da mas informacion. 
No contactado</t>
  </si>
  <si>
    <t>CC-1018460430</t>
  </si>
  <si>
    <t>EDUARDO ALFONSO PEÑA WALTEROS</t>
  </si>
  <si>
    <t>CL 73 22 33 PI 2</t>
  </si>
  <si>
    <t>Aplazamiento
MDM-FIBRA-020107799
Cuadrilla en predio, cliente indica que no puede atender, solicita reprogramar para el dia 28-08 en am</t>
  </si>
  <si>
    <t>NIT-901967199</t>
  </si>
  <si>
    <t>EDIFICIO CENTRO MEDICO COUNTRY 80 ETAPA II - PH</t>
  </si>
  <si>
    <t>KR 18 80 52 AD 1</t>
  </si>
  <si>
    <t>*Orden Solucionada*
MDM-FIBRA-020108539
Se ingresa al cliente, se validan tomas telefónicas y cajas de distribución en techo drywall,  se realiza tendido de fibra óptica desde el punto requerido por el cliente en segundo piso, pasando por techo drywall, bajando al sótano donde se encuentra la nap asignada. Se deja guia para que el técnico baje UTP para instalación de repetidor en primer piso. Se gastan 35 MTS de F.O de baja fricción. No se generan daños ni pérdidas durante la instalacion. Tecnico fredy corredor</t>
  </si>
  <si>
    <t>CC-52496936</t>
  </si>
  <si>
    <t>ELIZABETH VILLARRAGA SALAMANCA</t>
  </si>
  <si>
    <t>CL 88B 110 30</t>
  </si>
  <si>
    <t>obstrucción entre cajas de paso para hacer ingreso de fibra al predio sonda avanza aproximadamente 6 m y tranque no avanza más</t>
  </si>
  <si>
    <t>Orden Solucionada
MDM-FIBRA-020114761
Se llega a predio, se habla con el usuario el cual autoriza realizar validación. se evidencia telefónica. se aplica jabón líquido, agua caliente y por último se realiza pesca. se tiende fibra desde la nap, pasando por 6 cajas de paso peatonal (canalizado) y 2 murales. Ingresa a predio por toma principal del estudio y se deja en punto requerido. se gastan 80 mts de baja fricción. No se generan daños ni pérdidas durante la instalacion. Tecnico Cesar hernandez</t>
  </si>
  <si>
    <t>CC-1024571465</t>
  </si>
  <si>
    <t>JESUS SANTIAGO GARZON SERNA</t>
  </si>
  <si>
    <t>CL 62A SUR 73C 21 TO 14 AP 353</t>
  </si>
  <si>
    <t>obstrucción caja de pasillo a toma principal de teléfono, único ingreso, sonda atascada, desempataron el tubo Tec de otro operador, no hay cables</t>
  </si>
  <si>
    <t>MDM-FIBRA-020103028
Cuadrilla en predio, se marca 3105511560 correo de voz, 3155381638 cliente no repsonde, seguridad indica que no responden.</t>
  </si>
  <si>
    <t>CC-1073154063</t>
  </si>
  <si>
    <t>JAVIER ORLANDO BAQUERO ORTIZ</t>
  </si>
  <si>
    <t>KR 79F 49 44 SUR IN 5 AP 404</t>
  </si>
  <si>
    <t xml:space="preserve">se llega al predio se evidencia ducteri obstruida en caja de paso se envia evidencia </t>
  </si>
  <si>
    <t>Aplazamiento
MDM-FIBRA-020120367
Cuadrilla en predio, se marca 3143995693 JAVIER ORLANDO BAQUERO ORTIZ solicita reprogramar para el dia 28-08 en am</t>
  </si>
  <si>
    <t>CC-19266349</t>
  </si>
  <si>
    <t>ALEJANDRO HERNANDEZ VALENZUELA</t>
  </si>
  <si>
    <t>CL 169B 75 73 CA 162</t>
  </si>
  <si>
    <t xml:space="preserve"> Se evidencia que se  solicita cuadrilla de quiebre para poder realizar la instalación por el tipo de ducteria</t>
  </si>
  <si>
    <t>Orden Solucionada
MDM-FIBRA-020120849
Se llega a predio, se habla con el usuario, nos permite el ingreso para realizar la validación, se realiza validación, se extiende fibra desde la nap, se pasa por 5 cámaras, 1 caja y  3 toma hasta el  punto requerido por el cliente. Se gastan 110 MTS de fibra drop de baja fricción. No se generan daños ni pérdidas durante la instalacion. Tecnico jesus silva</t>
  </si>
  <si>
    <t>CC-39521864</t>
  </si>
  <si>
    <t>NUBIA CRUZ DE TRIVIÑO</t>
  </si>
  <si>
    <t>KR 91A 73A 80 BQ 7 CA 11</t>
  </si>
  <si>
    <t xml:space="preserve">obstrucción entre cajas de paso para realizar el tendido del cableado </t>
  </si>
  <si>
    <t>Orden Solucionada
MDM-FIBRA-020123350
Se llega a predio, se habla con el usuario el cual autoriza realizar validación. se evidencia ducteria obstruida, se aplica jabón líquido, agua caliente y por último se realizan varias pescas. se tiende fibra desde la nap, pasando por 8 cajas de paso mural y 2 cajas de paso peatonal (canalizado). se ingresa a predio por toma principal de la sala en piso 1 y se deja en punto requerido. se gastan 100 mts de baja fricción. No se generan daños ni pérdidas durante la instalacion. Tecnico cesar hernandez</t>
  </si>
  <si>
    <t>Orden Solucionada
MDM-FIBRA-020114983
Se realiza validacion desde sala, sonda  llega a habitacion hasta llegar a caja principal, desde alli a caja de paso en drywall, se baja por caja de paso 3 pisos hasta llegar a fachada, en fachada se lleva hacia poste. Se gasatn 95 Mts Indoor-01 Herraje. No se generan daños ni pérdidas durante la instalacion. Tecnico luis hoyos</t>
  </si>
  <si>
    <t>CC-1082911903</t>
  </si>
  <si>
    <t>ORIANA GALOFRE CHARRIS</t>
  </si>
  <si>
    <t>KR 10A 119 49 AP 210</t>
  </si>
  <si>
    <t xml:space="preserve">no se logra pasar sonda, solo pasa 4 metros y queda bloqueada se requiere de cuadrilla para poder entregar el servicio </t>
  </si>
  <si>
    <t>Orden Solucionada
MDM-FIBRA-020118325
Se instalan 41 MTRS de drop de baja fricción desde la caja de paso,  por ducto de citofonia enviamos el drop hasta la toma principal ubicada en la cocina,  luego pasamos a la toma principal de teléfono en el mismo muro, ingresamos por toma de teléfono hasta la toma de la habitación, se perfila por el guardescobas dando la vuelta al cuarto dejando la respectiva reserva en la toma de TV donde la usuaria solicita el servicio. No se generan daños ni pérdidas durante la instalacion. Tecnico edwin diaz</t>
  </si>
  <si>
    <t>CC-52267590</t>
  </si>
  <si>
    <t>SANDRA PATRICIA CRUZ VALLEJO</t>
  </si>
  <si>
    <t>KR 94 153 90 IN 1 AP 106</t>
  </si>
  <si>
    <t xml:space="preserve">Se evidencia que la sonda no pasa completa, no llega a la caja de paso </t>
  </si>
  <si>
    <t>*Orden No viable*
MDM-FIBRA-020112203
Realizamos validacion de ruta para tendido, se evidencia que el tubo que va de la toma principal hacia la caja de paso esta caído, la sonda se va por fuera, no hay como subirlo a la pdp y de afuera hacia adentro la sonda ingresa  2 metros y queda trancada. no hay caja de TV y la caja de citofonos está por otro muro, administración no autoriza instalar cables por áreas comunes .la TV va por fachada por no hay ingreso;  en el predio hay solo dos tomas una de teléfono en la sala y una de TV en alcoba principal. No se generan daños ni pérdidas durante la validacion. autoriza supervisor yeison martinez.</t>
  </si>
  <si>
    <t>CC-52828522</t>
  </si>
  <si>
    <t>ZUJEY VIVIANA RIVAS GIRALDO</t>
  </si>
  <si>
    <t>DG 46 16 12 AP 404</t>
  </si>
  <si>
    <t xml:space="preserve"> se evidencia que la unica ruta de ingreso al apt es por tuberia de citofonia pero el cliente no cuenta con toma eléctrica para poder dejarla ont en ese punto, se debe pasar la fibra a otro punto donde si hay electricidad pero queda cableado a la vista, cliente no acepta por estética tampoco acepta canaletas,  no hay mas rutas de instalacion</t>
  </si>
  <si>
    <t>No viable// se evidencia que la unica ruta de ingreso al apt es por tuberia de citofonia pero el cliente no cuenta con toma eléctrica para poder dejarla ont en ese punto, se debe pasar la fibra a otro punto donde si hay electricidad pero queda cableado a la vista, cliente no acepta por estética tampoco acepta canaletas,  no hay mas rutas de instalacion</t>
  </si>
  <si>
    <t>Gestionada Orden No viable
MDM-FIBRA-017651607
Se llega a predio, se realiza validacion y sondeo desde toma en cuarto principal por ducteria galvanizada,  sonda da sólo ingresa 3 mts y tranca,  cables existentes no se mueven, hay obstruccion en la ducteria que comunica hacia caja de paso, se valida para realizar tendido por pasillo interno con fibra blanca pero administracion no da autorizacion de cableado por areas comunes, no tenemos mas rutas de acceso hacia el apto. No se generan daños ni pérdidas durante la validacion. Autoriza supervisor German Mendoza.</t>
  </si>
  <si>
    <t>MDM-FIBRA-020118211</t>
  </si>
  <si>
    <t>MDM-FIBRA-020086376</t>
  </si>
  <si>
    <t>MDM-FIBRA-020116234</t>
  </si>
  <si>
    <t>MDM-FIBRA-020097717</t>
  </si>
  <si>
    <t>MDM-FIBRA-020090177</t>
  </si>
  <si>
    <t>MDM-FIBRA-020039696</t>
  </si>
  <si>
    <t>MDM-FIBRA-020106250</t>
  </si>
  <si>
    <t>Q-MDM-PQR-57176554</t>
  </si>
  <si>
    <t>MDM-FIBRA-020126465</t>
  </si>
  <si>
    <t>MDM-FIBRA-020038824</t>
  </si>
  <si>
    <t>MDM-FIBRA-020133302</t>
  </si>
  <si>
    <t>Aplazamiento
MDM-FIBRA-020024427
Cuadrilla en predio, se marca a contacto 3134236152 sra MARLENE GARCIA DIAZ indica que no puede atender, solicita reprogramar para el dia 02-09 en am.</t>
  </si>
  <si>
    <t>CC-1014221713</t>
  </si>
  <si>
    <t>FELIX IGNACIO LUQUE GARCIA</t>
  </si>
  <si>
    <t>CL 147 72C 55</t>
  </si>
  <si>
    <t>*Orden Solucionada*
MDM-FIBRA-020118211
Se llega a predio, se habla con el usuario el cual autoriza realizar validación. se evidencia ducteria obstruida, se aplica jabón líquido a las sondas y por último se realizan 2 pescas. se tiende fibra desde la nap, pasando por 2 postes de apoyo. Ingresa a predio por caja de paso mural en piso 3, se saca a caja de paso en pasillo en piso 2, ingresa a apartamento por caja de paso detrás de puerta de acceso, se lleva a sala y se deja en punto requerido por el cliente.  Se gastan 130 mts de Indoor/Outdoor - 6 Herrajes. No se generan daños ni pérdidas durante la instalacion. Tecnico cesar hernandez</t>
  </si>
  <si>
    <t>CC-1032366118</t>
  </si>
  <si>
    <t>VIDAL PULIDO CASTIBLANCO</t>
  </si>
  <si>
    <t>CL 102A 47 13</t>
  </si>
  <si>
    <t>MDM-FIBRA-020086376
No contactado
Cuadrilla en predio, se marca a contactos 3138014019- 3118494999 sin respuestas.</t>
  </si>
  <si>
    <t>CC-51730026</t>
  </si>
  <si>
    <t>MARIA TERESA MATEUS RUIZ</t>
  </si>
  <si>
    <t>CL 54C SUR 87 21 IN 165</t>
  </si>
  <si>
    <t>se encuentra obstruida desde la caja de paso  de la casa hasta la caja de paso q se encuentra en las áreas comunes</t>
  </si>
  <si>
    <t>Orden Cancelada
MDM-FIBRA-020107799
Cuadrilla en predio, se marca a contacto 3142361123 sr EDUARDO ALFONSO PEÑA WALTEROS indica que decidio cancelar el servicio no da mas informacion</t>
  </si>
  <si>
    <t>CC-52476844</t>
  </si>
  <si>
    <t>DIANA MARCELA DE LA CRUZ LINARES</t>
  </si>
  <si>
    <t>CL 159 17 38 IN 9 AP 401</t>
  </si>
  <si>
    <t xml:space="preserve"> no hay infraestructura para hacer tendido al predio no hay canaleta ni tubería </t>
  </si>
  <si>
    <t>*Orden No viable*
MDM-FIBRA-020097717
Se habla con la clienta Se le indica que los ductos son compartidos desde el apartamento 401, 301, 201, 101, van en una sola vertical. No permiten el ingreso a ninguno d elos predios para realizar validacion. No se generan daños ni pérdidas durante la validacion. autoriza supervisor yeison martinez.</t>
  </si>
  <si>
    <t>Orden Solucionada
MDM-FIBRA-020120367
Se ingresa al cliente, en validación no se encuentran tomas telefónicas, se válida ruta saliendo por fachada con dificultad para pasar sonda en cajas de paso en zona verde se logra pasar. Se realiza tendido desde el punto requerido por el cliente saliendo por canaleta en fachada y posteriormente pasando por tres cajas de distribución en zona verde llegando a la caja CPS donde se encuentra la nap asignada. Se gastan 55 MTS de F.O de baja fricción. No se generan daños ni pérdidas durante la instalacion. Tecnico fredy corredor</t>
  </si>
  <si>
    <t>CC-52333808</t>
  </si>
  <si>
    <t>ANDREA CRISTINA ANGARITA RIOS</t>
  </si>
  <si>
    <t>KR 7A 94 29 AP 601</t>
  </si>
  <si>
    <t>Orden No viable
MDM-FIBRA-020090177
Realizamos validación de ruta para tendido, evidenciamos que la única toma donde requieren el servicio está en un muro y es de TV,  al enviar la sonda está ingresa aproximadamente 7 a 10 MTRS y no pasa, de afuera hacia adentro pasa pero no sale a la toma, realizaron adecuacion en la toma principal no pasa,  cliente debe realizar una obra civil para solucionar el arreglo del tubo y asi volver a solicitar el servicio .administración no permite cables por las zonas comunes. Los técnicos sacaron los cables de TV del tubo y no pudieron solucionar. No se generan daños ni pérdidas durante la validación. autoriza supervisor yeison martinez.</t>
  </si>
  <si>
    <t>CC-52411766</t>
  </si>
  <si>
    <t>MONICA JIMENEZ GONZALEZ</t>
  </si>
  <si>
    <t>DG 76 3 59 AP 401</t>
  </si>
  <si>
    <t>Se llega a predio pero se encuentra la ductria obstruido ya que es un tubo corrugado y no pasa la sonda</t>
  </si>
  <si>
    <t>*Orden Solucionada*
MDM-FIBRA-020039696
Se instalan 88 MTRS de drop de baja fricción desde la furukawa signada en sótano, por ducto principal pasando por dos cajas de paso en techo, salimos por perforacion al lado de la puerta del garaje, subimos hasta la terraza en piso 7 con autorizacion de administracion, perfilamos el drop por el borde de los cables existentes en la sotea, bajamos por la fachada hasta el piso 4,  ingresamos por perforacion existente hasta el estudio donde usuario pide el servicio. No se generan daños ni pérdidas durante la instalacion. Tecnico edwin diaz</t>
  </si>
  <si>
    <t>CC-52167510</t>
  </si>
  <si>
    <t>SANDRA PATRICIA PACANCHIQUE PACANCHIQUE</t>
  </si>
  <si>
    <t>KR 77 20 20 TO 2 AP 602</t>
  </si>
  <si>
    <t>evidenciamos qué la sonda no pasa del predio al gabinete de distribución</t>
  </si>
  <si>
    <t>Orden Solucionada
MDM-FIBRA-020106250
Se realiza validación y sondeo desde caja telefonica hacia caja de distribución, se envía sonda hasta llegar a caja de paso en pasillo, desde la caja de paso en  pasillo se baja hacia el piso 3 donde se encuentra la Furukawa. En predio se cruza por caja de distribución hasta la sala, punto indicado por el cliente. Se gastan 35Mts Baja Friccion. No se generan daños ni pérdidas durante la instalacion. Tecnico Luis hoyos</t>
  </si>
  <si>
    <t>CC-79709663</t>
  </si>
  <si>
    <t>IVAN DARIO VARGAS MENDOZA</t>
  </si>
  <si>
    <t>KR 62 64 75 BQ G IN 15</t>
  </si>
  <si>
    <t>referida ing marcos sabana</t>
  </si>
  <si>
    <t>Orden Solucionada
MDM-PQR-57176554
Se realiza validación y sondeo desde caja telefonica pasando a caja de paso por ducto, hasta llegar a la siguiente caja de paso, s epasa por 3 cajas de paso hasta llegar a la nap asignada.  En predio se deja donde es requerido. Se gastan 25Mts Baja Friccion. No se generan daños ni pérdidas durante la instalacion. Tecnico Luis hoyos</t>
  </si>
  <si>
    <t>CC-17185300</t>
  </si>
  <si>
    <t>CELESTINO BOLIVAR LOPEZ</t>
  </si>
  <si>
    <t>KR 52A 134A 22 AP 222</t>
  </si>
  <si>
    <t xml:space="preserve"> Instalación inviable no hay comunicación entre cajas administración dio la orden de cortar las instalaciones que iban por fuera según técnico</t>
  </si>
  <si>
    <t>No viable/ Instalación inviable no hay comunicación entre cajas administración dio la orden de cortar las instalaciones que iban por fuera según técnico</t>
  </si>
  <si>
    <t>NIT-901601851</t>
  </si>
  <si>
    <t>ENERGIA Y GAS DE COLOMBIA SAS E.S.P.</t>
  </si>
  <si>
    <t>KR 16 93 86 OF 406</t>
  </si>
  <si>
    <t>en la viabilidad que se evidenció y según ubicación enviada por torre de Diseño la NAP no se encuentra físicamente en el sitio,por vecinos se observa que todos los servicios activos se encuentran alarmados,al parecer quitaron la NAP,se solicitó cambio de nap a las más cercanas N1SI18_B7,N1SI18_B3 pero informan que se encuentran al 100% de su ocupación</t>
  </si>
  <si>
    <t>No viable//en la viabilidad que se evidenció y según ubicación enviada por torre de Diseño la NAP no se encuentra físicamente en el sitio,por vecinos se observa que todos los servicios activos se encuentran alarmados,al parecer quitaron la NAP,se solicitó cambio de nap a las más cercanas N1SI18_B7,N1SI18_B3 pero informan que se encuentran al 100% de su ocupación</t>
  </si>
  <si>
    <t>CC-1012458274</t>
  </si>
  <si>
    <t>TANIA MILENA BERNAL ESPINOSA</t>
  </si>
  <si>
    <t>KR 78H 60A 32 SUR BQ 4 AP 202</t>
  </si>
  <si>
    <t xml:space="preserve">obstruida para poder pasar la fibra  </t>
  </si>
  <si>
    <t>Aplazamiento
MDM-FIBRA-020133302
Cuadrilla en predio, cliente indica que no puede atender, solicita reprogramar para el dia 29-08 en am.</t>
  </si>
  <si>
    <t>MDM-FIBRA-020123540</t>
  </si>
  <si>
    <t>MDM-FIBRA-020134247</t>
  </si>
  <si>
    <t>MDM-FIBRA-019992020</t>
  </si>
  <si>
    <t>MDM-FIBRA-020133103</t>
  </si>
  <si>
    <t>MDM-FIBRA-020111896</t>
  </si>
  <si>
    <t>MDM-FIBRA-020140089</t>
  </si>
  <si>
    <t>MDM-FIBRA-020136969</t>
  </si>
  <si>
    <t>MDM-FIBRA-020138896</t>
  </si>
  <si>
    <t>Orden Cancelada
MDM-FIBRA-020072831
Cuadrilla en predio  se marca a contacto 3102218612 sra NOHORA CONSUELO MORENO RINCON indica que decidió cancelar el servicio</t>
  </si>
  <si>
    <t>MDM-FIBRA-020104067
Cuadrilla en predio, se marca a contacto 3023770132 sr ALEJANDRO DAVILA CASTAÑEDA indica que debe validar unos permisos con administracion, por el momento no requiere la visita</t>
  </si>
  <si>
    <t>Orden Solucionada
MDM-FIBRA-020112783
Se ingresa al cliente, se validan tomas telefónicas y caja de distribución en pasillo, se realiza sondeo de ductos en la entrada a la caja de distribución en anden, se realiza tendido de fibra óptica desde el punto requerido por el cliente saliendo a la caja de distribución en pasillo y bajando por dos cajas más y saliendo a una caja de distribución en anden y posteriormente llegando a la caja CPS donde se encuentra la nap asignada. Se gastan 65 MTS de fibra óptica de baja fricción. No se generan daños ni pérdidas durante la instalacion. Tecnico fredy corredor</t>
  </si>
  <si>
    <t>CC-52341471</t>
  </si>
  <si>
    <t>LINA MARYOURI CASTILLO MORENO</t>
  </si>
  <si>
    <t>KR 126 130 65 CA 79</t>
  </si>
  <si>
    <t>Ductos obstruidos no se pueden realizar instalación se requiere cuadrilla de quiebre</t>
  </si>
  <si>
    <t>Orden Solucionada
Hilado
MDM-FIBRA-020123540
Se llega a predio, se habla con el usuario el cual autoriza realizar validación. Se evidencia ducteria externa obstruida. Se realizan varios intentos para destapar obstrucción. Se tiende hilado desde la NAP PRECONECTORIZADA pasando por 3 cajas de paso peatonal (Canalizado), se realiza pesca y se ingresa a predio por toma principal de la sala y se deja en punto requerido. No se generan daños ni pérdidas durante la instalacion. Tecnico cesar hernandez</t>
  </si>
  <si>
    <t>CC-79697478</t>
  </si>
  <si>
    <t>EDUAR GIOVANNI CASTRO CARDENAS</t>
  </si>
  <si>
    <t>KR 83A 75 50 CA 115</t>
  </si>
  <si>
    <t>se valida obstrucción entre las cdp única ruta de acceso a predio no es posible completar toca cablear pto a nap</t>
  </si>
  <si>
    <t>Orden Solucionada
MDM-FIBRA-020134247
Se realizavalidacion y sondeo desde caja telefonica,  pasa a la siguiente caja telefonica, desde caja telefonica se envía sonda saliendo a caja fachada hasta llegar a caja de paso en piso, y de ahí se lleva hasta la siguiente caja de paso, donde se encuentra la nap asignada.  En predio se deja donde es requerido. Se gastan 60 Mts Baja Fricción. No se generan daños ni pérdidas durante la instalacion. Tecnico luis hoyos</t>
  </si>
  <si>
    <t>NIT-901046539</t>
  </si>
  <si>
    <t>CONJUNTO RESIDENCIAL MIRADOR DEL ESTE 1- PROPIEDAD HORIZONTAL</t>
  </si>
  <si>
    <t>CL 63 SUR 14 89 ESTE AD 1</t>
  </si>
  <si>
    <t>servicio para la administración, tendido canalizado, se evidencia obstrucción de camara salida de administración a nap , sonda tranca, ductos saturado</t>
  </si>
  <si>
    <t>Aplazamiento
MDM-FIBRA-019992020
Cuadrilla en predio se marca a contacto 3125514888 cliente solicita reprogramar para el dia 31-08 en am.</t>
  </si>
  <si>
    <t>CC-79858064</t>
  </si>
  <si>
    <t>ELSSON ERNEY SANDOVAL PIRACON</t>
  </si>
  <si>
    <t>KR 116 77B 42 CA 31</t>
  </si>
  <si>
    <t>Escalar 1502 se valida única ruta de acceso a predio presentado obstrucción cables existentes atascados no se mueven</t>
  </si>
  <si>
    <t>Aplazamiento
MDM-FIBRA-020133103
Por horario de administracion no permiten labores, cliente solicita reprogramar para el dia 31-08 en am</t>
  </si>
  <si>
    <t>CC-1020822661</t>
  </si>
  <si>
    <t>NICOLAS ESPINOSA RINCON</t>
  </si>
  <si>
    <t>CL 147 15 36 IN 5 AP 201</t>
  </si>
  <si>
    <t xml:space="preserve"> Se evidencia que la sonda no pasa por la parte del citofono </t>
  </si>
  <si>
    <t>Orden Solucionada
MDM-FIBRA-020111896
Se instalan 21 MTRS de drop de baja fricción desde la caja de paso por ducto de citofono comparte con telefonía este se encontraba tapado, logramos pasar a la toma de la cocina y de esta al segundo piso donde solicitan el servicio. No se generan daños ni pérdidas durante la instalacion. Tecnico edwin diaz</t>
  </si>
  <si>
    <t>Orden Solucionada
Hilado
MDM-FIBRA-020133302
Se ingresa al cliente, se validan tomas telefónicas y cajas de distribución en pasillo y andén
se realiza hilado desde el punto requerido por el cliente saliendo a la caja de distribución en pasillo y posteriormente bajando al primer piso, saliendo a la caja de distribución en anden pasando por cuatro cajas más y subiendo al strip telefónico y bajando nuevamente a la caja CPD donde se encuentra la nap asignada. Técnico instalador debe traer F.O preconectarizada de 100 MTS. No se generan daños ni pérdidas durante la instalacion. Tecnico fredy corredor</t>
  </si>
  <si>
    <t>referida ing marcos sabana//cambio de fibra</t>
  </si>
  <si>
    <t>Orden Solucionada
MDM-PQR-57176554
Se realiza cambio de fibra desde caja telefonica pasando a caja de paso por ducto, hasta llegar a la siguiente caja de paso, s epasa por 3 cajas de paso hasta llegar a la nap asignada.  En predio se deja donde es requerido. Se gastan 25Mts fibra f8. No se generan daños ni pérdidas durante la instalacion. Tecnico Luis hoyos</t>
  </si>
  <si>
    <t>25 F8</t>
  </si>
  <si>
    <t>CC-1106769976</t>
  </si>
  <si>
    <t>ALBERT STIVE OSPINA AVENDAÑO</t>
  </si>
  <si>
    <t>KR 5Y 49D 23 SUR AP 201</t>
  </si>
  <si>
    <t xml:space="preserve">*Orden Solucionada*
MDM-FIBRA-020140089
Se llega a predio, se habla con el usuario, se realiza validación y se busca la ruta, se tiende fibra desde la nap, se pasa por vía aérea, se deja fibra en punta en nap y de alli hasta donde se va a dejar el servicio. Se gastan 40 de fibra indoor / outdoor-Herraje 2. No se generan daños ni pérdidas durante la instalacion. Tecnico jesus silva
</t>
  </si>
  <si>
    <t>CC-65820260</t>
  </si>
  <si>
    <t>MARIA ISABEL NUÑEZ OSUNA</t>
  </si>
  <si>
    <t>CL 49A BIS SUR 10D 20 TO 3 AP 604</t>
  </si>
  <si>
    <t>obstruccion en predio, no pasa sonda,</t>
  </si>
  <si>
    <t>*Aplazamiento*
MDM-FIBRA-020136969
Cuadrilla en predio, por horarios de administracion no permiten labores cliente solicita reprogramar para el dia lunes 31-08</t>
  </si>
  <si>
    <t>CC-1033813335</t>
  </si>
  <si>
    <t>PAULA ANDREA TUNJUELO RODRIGUEZ</t>
  </si>
  <si>
    <t>CL 48A SUR 12B 36</t>
  </si>
  <si>
    <t>se valida la única ruta de acceso presentado obstrucción en el predio</t>
  </si>
  <si>
    <t xml:space="preserve">*Orden Solucionada*
MDM-FIBRA-020138896
Se llega a predio, se habla con el usuario, se realiza validación y se busca la ruta desde la nap, se pasa por vía aérea,  Se deja fibra en punta en nap y de alli hasta predio donde se va a dejar el servicio. Se gastan 70 de fibra indoor / outdoor-Herraje 2. No se generan daños ni pérdidas durante la instalacion. Tecnico jesus silva
</t>
  </si>
  <si>
    <t>MDM-FIBRA-020112974</t>
  </si>
  <si>
    <t>MDM-FIBRA-020137574</t>
  </si>
  <si>
    <t>MDM-FIBRA-020130259</t>
  </si>
  <si>
    <t>MDM-FIBRA-020134242</t>
  </si>
  <si>
    <t>MDM-FIBRA-020137480</t>
  </si>
  <si>
    <t>MDM-FIBRA-020137537</t>
  </si>
  <si>
    <t>MDM-FIBRA-020139372</t>
  </si>
  <si>
    <t>MDM-FIBRA-020117386</t>
  </si>
  <si>
    <t>CC-7121658</t>
  </si>
  <si>
    <t>YEISSON YAZETH BARAJAS GONZALEZ</t>
  </si>
  <si>
    <t>CL 154A 94 04 IN 3 AP 203</t>
  </si>
  <si>
    <t>MDM-FIBRA-019992020
No contactado
Cuadrilla en predio, administradora no se encuentra, se marca a contacto 3125514888 sin respuesta, seguridad indica que no tiene conocimiento de visita.</t>
  </si>
  <si>
    <t>En predio la sonda del strip al apartamento avanza unos 15 mtrs pero tranca se envía desde toma de telefono a strip y no avanza sino 20 cm</t>
  </si>
  <si>
    <t xml:space="preserve">*Aplazamiento*
MDM-FIBRA-020137574
Cuadrilla en predio, cliente indica que va de salida a llevar al hijo al colegio, solicita que porfavo se le visita de nuevo en la tarde. </t>
  </si>
  <si>
    <t>CC-52974204</t>
  </si>
  <si>
    <t>SONIA CAROLINA DIAZ SALCEDO</t>
  </si>
  <si>
    <t>CL 6D 79A 56 IN 6 AP 548</t>
  </si>
  <si>
    <t>la ruta para llegar al apartamento es de una caja de piso hasta el apartamento se ingresa la sonda y vemos que no pasa se encuentra obstruida,no hay más rutas para llevar la fibra</t>
  </si>
  <si>
    <t>Orden Solucionada
MDM-FIBRA-020130259
Cuadrilla en preedio, se realzia validacion y sondeo encontrando obstruccion, se realiza tendido de fibra pasando obstruccion llevandola desde nap a predio, dejando en sitio indicado por cliente. En predio queda tecnico instalador activando servicios.  No se generan daños ni pérdidas durante la instalacion. Tecnico</t>
  </si>
  <si>
    <t>CC-1032384361</t>
  </si>
  <si>
    <t>GUILLERMO ALFONSO RODRIGUEZ GOMEZ</t>
  </si>
  <si>
    <t>CL 6C 73 45 IN 1 AP 503</t>
  </si>
  <si>
    <t xml:space="preserve">la ruta para llegar al apartamento es de una caja de piso hasta el apartamento se ingresa la sonda y vemos que no pasa se encuentra obstruida,no hay más rutas para llevar la fibra </t>
  </si>
  <si>
    <t>Orden Solucionada
MDM-FIBRA-020134242
Se ingresa al cliente se validan tomas telefónicas, se evidencia que los ductos pasan de apartamento a apartamento lo que impide bajar la F.O. Se valida ruta por fachada y en zona verde se encuentra un ducto con obstrucción y roto se logra pasar. Se realiza tendido de fibra desde el punto requerido por el cliente saliendo a fachada, bajando por canaleta y llegando a la caja de distribución donde se encuentra la CP asignada. Se deja fibra óptica en apartamento figurada por petición del cliente . se gastan 45 MTS de F.O de baja fricción. No se generan daños ni pérdidas durante la instalacion. Tecnico fredy corredor</t>
  </si>
  <si>
    <t>CC-1014284280</t>
  </si>
  <si>
    <t>ANGELICA MARIA VARGAS CONTRERAS</t>
  </si>
  <si>
    <t>KR 77 BIS 69A 86 AP 202</t>
  </si>
  <si>
    <t>se valida la única ruta de acceso presentado obstrucción después de pasar por cuatro cdps cables existentes no se pueden retirar ya que son servicios activos</t>
  </si>
  <si>
    <t>*Orden Solucionada*
MDM-FIBRA-020137480
Se llega a predio, se habla con el usuario el cual autoriza realizar validación. Se evidencia ducteria obstruida, se aplica jabón líquido a las sondas y se realizan 2 pescas. Se tiende fibra desde la NAP, se ancla a fachada. Se ingresa a predio por caja de paso de fachada,  pasa por 2 cajas de paso en techo en piso 1, ingresa a apartamento por caja de paso en techo, se lleva a toma principal de la sala y se deja en punto requerido. Se gastan 60 mts de Indoor-2 Herrajes. No se generan daños ni pérdidas durante la instalacion. Tecnico cesar hernandez</t>
  </si>
  <si>
    <t>CC-1032405213</t>
  </si>
  <si>
    <t>FELIPE MEDINA GUTIERREZ</t>
  </si>
  <si>
    <t>KR 11 116 50 AP 404</t>
  </si>
  <si>
    <t>duicteria obstruida no se mueve para nungun lado ingresa unos 10 metros pero no da ni de adentro asia a fuera ni al reves</t>
  </si>
  <si>
    <t>MDM-FIBRA-020137537
No contactado
Cuadrilla en predio, se marca portero digital sin respuesta, se marca a contactos 3223114276- 3232151004 sin respuesta.</t>
  </si>
  <si>
    <t>CC-80925980</t>
  </si>
  <si>
    <t>GIOVANNY SIERRA VARGAS</t>
  </si>
  <si>
    <t>KR 13 44 33 OF 1003</t>
  </si>
  <si>
    <t>en la viabilidad que se evidenció,el ducto que común de la caja de paso a la toma principal el ducto se encuentra obstruido sonda no pasa,cables existentes no se mueven</t>
  </si>
  <si>
    <t>Aplazamiento
MDM-FIBRA-020139372
Cuadrilla en predio, se marca a contacto 3001731343 sr GIOVANNY SIERRA VARGAS, indica que no puede atender,  solicita reprogramar para el dia 01-09 en pm</t>
  </si>
  <si>
    <t>Orden Solucionada
MDM-FIBRA-020133103
Se llega a predio, se habla con el usuario el cual autoriza realizar validación. se evidencia ducteria obstruida, se aplica jabón líquido y agua caliente dentro del predio y en cajas de paso mural. se tiende fibra desde la nap, pasando por 3 cajas de paso mural y casa 32 por ducteria compartida. se ingresa a predio por toma principal de la sala y se deja en punto requerido. se gastan 50 mts de baja fricción.  No se generan daños ni pérdidas durante la instalacion. Tecnico cesar hernandez</t>
  </si>
  <si>
    <t>Orden Solucionada
MDM-FIBRA-020109938
Se llega a predio, se habla con el usuario, se realiza validación y se busca la ruta desde la nap asignada  en piso 6, se pasa ductería, se llega a predio y se deja en sitio indciado por cliente.  Se gastan 50 de fibra drop de baja fricción. No se generan daños ni pérdidas durante la instalacion. Tecnico jesus silva</t>
  </si>
  <si>
    <t>Orden No viable
MDM-FIBRA-020137574
Cuadrilal en predio, se realzia validacion y sondeo,  encontrando obstrucción en codo dentro del predio. se sondea por la parte de la nap y pega justamente en el codo,  TV va hacia terraza, citofono fue adecuado. Cliente validara el tema con administracion. No se generan daños ni pérdidas durante la validacion. autoriza supervisor yeison martinez.</t>
  </si>
  <si>
    <t>NIT-900227741</t>
  </si>
  <si>
    <t>INVERSIONES JASALECH SAS</t>
  </si>
  <si>
    <t>KR 3 76 35 AP 902</t>
  </si>
  <si>
    <t xml:space="preserve"> se llega a predio se valida la ducteria esta obstruida, se requiere cuadrilla de quiebre</t>
  </si>
  <si>
    <t>*Orden Solucionada*
MDM-FIBRA-020117386
Se instalan 41 MTRS de drop de baja fricción desde la caja de paso, por ducto de telefonía luego por  una caja de paso hasta la toma de la cocina,  pasamos a una toma de teléfono en la sala y desde alli una toma en habitación luego de esta toma pasamos a la toma del estudio donde usuario solicita el servicio.No se generan daños ni pérdidas durante la instalacion. Tecnico Edwin diaz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</si>
</sst>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b/>
      <sz val="9"/>
      <color rgb="FF000000"/>
      <name val="Bookman Old Style"/>
      <family val="1"/>
    </font>
    <font>
      <b/>
      <sz val="9"/>
      <color theme="0"/>
      <name val="Bookman Old Style"/>
      <family val="1"/>
    </font>
    <font>
      <sz val="9"/>
      <color rgb="FF000000"/>
      <name val="Bookman Old Style"/>
      <family val="1"/>
    </font>
    <font>
      <b/>
      <sz val="11"/>
      <color theme="0"/>
      <name val="Calibri"/>
      <family val="2"/>
      <scheme val="minor"/>
    </font>
    <font>
      <b/>
      <sz val="11"/>
      <color theme="1"/>
      <name val="Calibri"/>
      <family val="2"/>
      <scheme val="minor"/>
    </font>
    <font>
      <sz val="8"/>
      <name val="Calibri"/>
      <family val="2"/>
      <scheme val="minor"/>
    </font>
    <font>
      <b/>
      <sz val="8"/>
      <color theme="1"/>
      <name val="Calibri"/>
      <family val="2"/>
      <scheme val="minor"/>
    </font>
    <font>
      <b/>
      <sz val="11"/>
      <color theme="1"/>
      <name val="Calibri"/>
      <family val="2"/>
      <charset val="134"/>
      <scheme val="minor"/>
    </font>
  </fonts>
  <fills count="8">
    <fill>
      <patternFill patternType="none"/>
    </fill>
    <fill>
      <patternFill patternType="gray125"/>
    </fill>
    <fill>
      <patternFill patternType="solid">
        <fgColor rgb="FFC6E0B4"/>
        <bgColor indexed="64"/>
      </patternFill>
    </fill>
    <fill>
      <patternFill patternType="solid">
        <fgColor rgb="FF002060"/>
        <bgColor indexed="64"/>
      </patternFill>
    </fill>
    <fill>
      <patternFill patternType="solid">
        <fgColor theme="4" tint="0.79995117038483843"/>
        <bgColor theme="4" tint="0.79995117038483843"/>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s>
  <borders count="5">
    <border>
      <left/>
      <right/>
      <top/>
      <bottom/>
      <diagonal/>
    </border>
    <border>
      <left style="double">
        <color rgb="FF0070C0"/>
      </left>
      <right style="double">
        <color rgb="FF0070C0"/>
      </right>
      <top style="double">
        <color rgb="FF0070C0"/>
      </top>
      <bottom/>
      <diagonal/>
    </border>
    <border>
      <left/>
      <right style="double">
        <color rgb="FF0070C0"/>
      </right>
      <top style="double">
        <color rgb="FF0070C0"/>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3" borderId="0" xfId="0" applyFont="1" applyFill="1" applyAlignment="1">
      <alignment horizontal="center" vertical="center" wrapText="1"/>
    </xf>
    <xf numFmtId="0" fontId="0" fillId="0" borderId="0" xfId="0" pivotButton="1"/>
    <xf numFmtId="14" fontId="0" fillId="0" borderId="0" xfId="0" applyNumberFormat="1" applyAlignment="1">
      <alignment horizontal="center" vertical="center" wrapText="1"/>
    </xf>
    <xf numFmtId="0" fontId="0" fillId="0" borderId="0" xfId="0" pivotButton="1" applyAlignment="1">
      <alignment vertical="center"/>
    </xf>
    <xf numFmtId="0" fontId="5" fillId="0" borderId="3" xfId="0" applyFont="1" applyBorder="1"/>
    <xf numFmtId="0" fontId="5" fillId="4" borderId="3" xfId="0" applyFont="1" applyFill="1" applyBorder="1"/>
    <xf numFmtId="0" fontId="5" fillId="5" borderId="4" xfId="0" applyFont="1" applyFill="1" applyBorder="1"/>
    <xf numFmtId="0" fontId="4" fillId="6" borderId="4" xfId="0" applyFont="1" applyFill="1" applyBorder="1"/>
    <xf numFmtId="0" fontId="5" fillId="0" borderId="4" xfId="0" applyFont="1" applyBorder="1"/>
    <xf numFmtId="0" fontId="7" fillId="5" borderId="4" xfId="0" applyFont="1" applyFill="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14" fontId="0" fillId="0" borderId="0" xfId="0" applyNumberFormat="1"/>
    <xf numFmtId="0" fontId="5" fillId="7" borderId="3" xfId="0" applyFont="1" applyFill="1" applyBorder="1"/>
    <xf numFmtId="0" fontId="8" fillId="0" borderId="0" xfId="0" applyFont="1"/>
  </cellXfs>
  <cellStyles count="1">
    <cellStyle name="Normal" xfId="0" builtinId="0"/>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family val="2"/>
      </font>
    </dxf>
    <dxf>
      <font>
        <b/>
        <family val="2"/>
      </font>
    </dxf>
    <dxf>
      <font>
        <b/>
        <family val="2"/>
      </font>
    </dxf>
    <dxf>
      <font>
        <b/>
        <family val="2"/>
      </font>
    </dxf>
    <dxf>
      <alignment horizontal="center"/>
    </dxf>
    <dxf>
      <alignment vertical="center"/>
    </dxf>
    <dxf>
      <alignment vertical="center"/>
    </dxf>
    <dxf>
      <alignment vertical="center"/>
    </dxf>
    <dxf>
      <alignment vertic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FTEL-4" refreshedDate="46266.328994328702" createdVersion="8" refreshedVersion="8" minRefreshableVersion="3" recordCount="397" xr:uid="{03254242-A1AF-410E-A332-5D666E8E50E3}">
  <cacheSource type="worksheet">
    <worksheetSource ref="A1:T733" sheet="AGOSTO 2026"/>
  </cacheSource>
  <cacheFields count="20">
    <cacheField name="MES" numFmtId="0">
      <sharedItems containsBlank="1"/>
    </cacheField>
    <cacheField name="ORDEN DE TRABAJO" numFmtId="0">
      <sharedItems containsBlank="1"/>
    </cacheField>
    <cacheField name=" Service Items name" numFmtId="0">
      <sharedItems containsBlank="1" count="3">
        <s v="Special Fault Handling Service team (Car)"/>
        <s v="Special Fault Handling Service team (Moto)"/>
        <m/>
      </sharedItems>
    </cacheField>
    <cacheField name="Item Code" numFmtId="0">
      <sharedItems containsBlank="1" count="3">
        <s v="350001056056"/>
        <s v="350001056055"/>
        <m/>
      </sharedItems>
    </cacheField>
    <cacheField name="NUMERO DE CUENTA" numFmtId="0">
      <sharedItems containsBlank="1"/>
    </cacheField>
    <cacheField name="NOMBRE DEL CLIENTE" numFmtId="0">
      <sharedItems containsBlank="1"/>
    </cacheField>
    <cacheField name="DIRECCION" numFmtId="0">
      <sharedItems containsBlank="1"/>
    </cacheField>
    <cacheField name="PROVEEDOR SUSPENDIO" numFmtId="0">
      <sharedItems containsBlank="1"/>
    </cacheField>
    <cacheField name="COMENTARIO" numFmtId="0">
      <sharedItems containsBlank="1" longText="1"/>
    </cacheField>
    <cacheField name="NODO" numFmtId="0">
      <sharedItems containsBlank="1"/>
    </cacheField>
    <cacheField name="RESULTADO" numFmtId="0">
      <sharedItems containsBlank="1"/>
    </cacheField>
    <cacheField name="CODIGO" numFmtId="0">
      <sharedItems containsString="0" containsBlank="1" containsNumber="1" containsInteger="1" minValue="1501" maxValue="1502"/>
    </cacheField>
    <cacheField name="OBSERVACIONES" numFmtId="0">
      <sharedItems containsBlank="1" longText="1"/>
    </cacheField>
    <cacheField name="CABLE BAJA FRICCION" numFmtId="0">
      <sharedItems containsBlank="1" containsMixedTypes="1" containsNumber="1" containsInteger="1" minValue="15" maxValue="180"/>
    </cacheField>
    <cacheField name="CABLE INDOOR" numFmtId="0">
      <sharedItems containsBlank="1" containsMixedTypes="1" containsNumber="1" containsInteger="1" minValue="30" maxValue="150"/>
    </cacheField>
    <cacheField name="TENSORES" numFmtId="0">
      <sharedItems containsBlank="1" containsMixedTypes="1" containsNumber="1" containsInteger="1" minValue="1" maxValue="7"/>
    </cacheField>
    <cacheField name="FECHA DE SUSPENSION" numFmtId="0">
      <sharedItems containsNonDate="0" containsDate="1" containsString="0" containsBlank="1" minDate="2026-07-25T00:00:00" maxDate="2026-09-01T00:00:00"/>
    </cacheField>
    <cacheField name="FECHA DE EJECUCION 1" numFmtId="0">
      <sharedItems containsNonDate="0" containsDate="1" containsString="0" containsBlank="1" minDate="2026-08-01T00:00:00" maxDate="2026-09-01T00:00:00" count="25">
        <d v="2026-08-01T00:00:00"/>
        <d v="2026-08-03T00:00:00"/>
        <d v="2026-08-04T00:00:00"/>
        <d v="2026-08-05T00:00:00"/>
        <d v="2026-08-06T00:00:00"/>
        <d v="2026-08-08T00:00:00"/>
        <d v="2026-08-10T00:00:00"/>
        <d v="2026-08-11T00:00:00"/>
        <d v="2026-08-12T00:00:00"/>
        <d v="2026-08-13T00:00:00"/>
        <d v="2026-08-14T00:00:00"/>
        <d v="2026-08-15T00:00:00"/>
        <d v="2026-08-18T00:00:00"/>
        <d v="2026-08-19T00:00:00"/>
        <d v="2026-08-20T00:00:00"/>
        <d v="2026-08-21T00:00:00"/>
        <d v="2026-08-22T00:00:00"/>
        <d v="2026-08-24T00:00:00"/>
        <d v="2026-08-25T00:00:00"/>
        <d v="2026-08-26T00:00:00"/>
        <d v="2026-08-27T00:00:00"/>
        <d v="2026-08-28T00:00:00"/>
        <d v="2026-08-29T00:00:00"/>
        <d v="2026-08-31T00:00:00"/>
        <m/>
      </sharedItems>
    </cacheField>
    <cacheField name="TECNICO" numFmtId="0">
      <sharedItems containsBlank="1" count="9">
        <s v="LUIS ANDRES HOYOS"/>
        <s v="CESAR HERNANDEZ"/>
        <s v="EDWIN DIAZ SIERRA"/>
        <s v="JESUS ORLANDO SILVA"/>
        <s v="FREDY CORREDOR GROSSO"/>
        <s v="DESPACHO"/>
        <m/>
        <s v="JUAN CARLOS SANCHEZ PIRE" u="1"/>
        <s v="HERNAN PEDRAZA LESMES" u="1"/>
      </sharedItems>
    </cacheField>
    <cacheField name="TIPO VEHICUL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
  <r>
    <s v="JULIO"/>
    <s v="MDM-FIBRA-019925977"/>
    <x v="0"/>
    <x v="0"/>
    <s v="CC-52254885"/>
    <s v="HILDA PEREZ PEREZ"/>
    <s v="CL 34A SUR 99A 37 CA 54"/>
    <s v="ZTE-CONECTAR"/>
    <s v=" Se evidencia que la ductería esta obstruida no pasa sonda "/>
    <s v="HOLANDA"/>
    <s v="NO VIABLE"/>
    <n v="1502"/>
    <s v="*Orden No viable*_x000a_MDM-FIBRA-019925977_x000a_Se realiza validacion desde caja fachada se envía sonda hasta llegar a caja de paso en piso y de ahí se va caja a caja hasta llegar a caja de paso en la esquina, desde la esquina se debe llegar al strip telefonico, pero del strip telefonico no hay comunicación hacia la nap asignada, ya que no hay un ducto que lleve hacia la caja de paso donde se encuentran varias nap, desde la nap se sigue el cable de alimentación que comunica hacia afuera del conjunto, pero no ingresa hacia el strip telefonico donde se de evidencia la ruta para la casas, personas de la demás propiedades informaron que ya se paso una carta a la administración para dar solución. No se generan daños ni pérdidas durante la validación. Tecnico Luis Hoyos"/>
    <s v="N/A"/>
    <s v="N/A"/>
    <s v="N/A"/>
    <d v="2026-07-25T00:00:00"/>
    <x v="0"/>
    <x v="0"/>
    <s v="CARRO"/>
  </r>
  <r>
    <s v="JULIO"/>
    <s v="MDM-FIBRA-019991123"/>
    <x v="0"/>
    <x v="0"/>
    <s v="CC-1011095753"/>
    <s v="CARLOS ANDRES DÍAZ CORREDOR"/>
    <s v="KR 116B 74A 65 TO 7 AP 102"/>
    <s v="ZTE-CONECTAR"/>
    <s v="Técnico valida en predio, sonda no pasa, se requiere cuadrilla de quiebre"/>
    <s v="BACHUE"/>
    <s v="NO VIABLE"/>
    <n v="1502"/>
    <s v="MDM-FIBRA-019991123_x000a_Estado caso_x000a_NO CONTACTADO_x000a_Observaciones_x000a_tecnico en predio, cliente no se encuentra y no contesta contacto / Observaciones CD Cliente CARLOS ANDRES DÍAZ CORREDOR numero de contacto 3105507486 3222913777 no contactado BACK:DANNA CORREA TK 173778"/>
    <s v="N/A"/>
    <s v="N/A"/>
    <s v="N/A"/>
    <d v="2026-07-30T00:00:00"/>
    <x v="0"/>
    <x v="1"/>
    <s v="CARRO"/>
  </r>
  <r>
    <s v="JULIO"/>
    <s v="MDM-FIBRA-019973310"/>
    <x v="1"/>
    <x v="1"/>
    <s v="CC-1014196636"/>
    <s v="LADY PAOLA ARIAS VARELA"/>
    <s v="CL 157A 92 06 BQ 3 AP 520"/>
    <s v="ZTE-CONECTAR"/>
    <s v=" observación: Se evidencia que la ductería esta obstruida, no pasa sonda"/>
    <s v="SUBA"/>
    <s v="SOLUCIONADA"/>
    <n v="1502"/>
    <s v="*Orden Solucionada*_x000a_MDM-FIBRA-019973310_x000a_Se instalan 15 mts de drop de baja fricción desde la caja de paso por ducto de telefonía, se envia el drop hasta la toma principal en alcoba luego de la misma toma se envía el drop a la toma de la sala, se válida la toma de TV y el ingreso está bien pero de esta toma hacia las demás no hay viabilidad porque quitaron las tomas, se deja cableado en punta donde también se evidencia que tecnico dejo en daño. se evidencia cableado empotrado. Nota: El técnico que realiza la validación buscando en la caja de paso equivocada, dejo un servicio en daño AP 518. No se generan daños ni pérdidas durante la validación. Tecnico Edwin Diaz"/>
    <n v="15"/>
    <s v="N/A"/>
    <s v="N/A"/>
    <d v="2026-07-31T00:00:00"/>
    <x v="0"/>
    <x v="2"/>
    <s v="MOTO"/>
  </r>
  <r>
    <s v="JULIO"/>
    <s v="MDM-FIBRA-019990209"/>
    <x v="0"/>
    <x v="0"/>
    <s v="CC-52093985"/>
    <s v="MARIA GLORIA MENDOZA PEÑA"/>
    <s v="KR 102 72 47 SUR CA 206"/>
    <s v="ZTE-COLVATEL"/>
    <s v="onstruccion entre caja de paso de nap a predio sonda avanza aproximadamente 6 metros y tranca"/>
    <s v="HOLANDA"/>
    <s v="APLAZAMIENTO"/>
    <n v="1502"/>
    <s v="*Aplazamiento*_x000a_MDM-FIBRA-019990209_x000a_tecnico realizando validación de obstrucción, cliente indica que reprograma visita para 06-08 en am debido a que tiene q salir / Observaciones CD MARIA GLORIA MENDOZA PEÑA 3208931662 contactado, *confirma agenda 06-08 jueves en PM* BACK MILDRED ZUÑIGA TK:173869"/>
    <s v="N/A"/>
    <s v="N/A"/>
    <s v="N/A"/>
    <d v="2026-07-31T00:00:00"/>
    <x v="0"/>
    <x v="0"/>
    <s v="CARRO"/>
  </r>
  <r>
    <s v="JULIO"/>
    <s v="MDM-FIBRA-019994143"/>
    <x v="0"/>
    <x v="0"/>
    <s v="CC-51917895"/>
    <s v="GLORIA ALICIA GOMEZ MUÑOZ"/>
    <s v="CL 73 11 52 AP 203"/>
    <s v="ZTE-NETWORKING"/>
    <s v="se valida ruta de acceso a predio presenta obstrucción"/>
    <s v="CHICO"/>
    <s v="SOLUCIONADA"/>
    <n v="1502"/>
    <s v="*Orden Solucionada*_x000a_MDM-FIBRA-019994143_x000a_Se realiza validación y se busca la ruta desde la nap asignada hasta el predio. Se extiende fibra desde la nap hasta el  punto requerido por el cliente por canaleta. Se pasa por 2 camaras y 1 caja, Se deja FIBRA en punta en la nap y de alli hasta donde se va a dejar el punto. SE REALIZO CAMBIO DE NAP A LA N2CO22_J22. Se tendieron 50 mts de baja fricción. No se generan daños ni pérdidas durante la validación. Tecnico Jesus Silva"/>
    <n v="50"/>
    <s v="N/A"/>
    <s v="N/A"/>
    <d v="2026-07-31T00:00:00"/>
    <x v="0"/>
    <x v="3"/>
    <s v="CARRO"/>
  </r>
  <r>
    <s v="JULIO"/>
    <s v="MDM-FIBRA-020005394"/>
    <x v="0"/>
    <x v="0"/>
    <s v="CC-1002653897"/>
    <s v="SIMON SERNA ZULUAGA"/>
    <s v="TV 2A 68 50 AP 403"/>
    <s v="ZTE-NETWORKING"/>
    <s v="se validan todas las tomas del predio la sonda no pasa del predio a la caja de paso  se valida obtruccion como a 15 metros no ingresa de afuera para adentro ni de adentro asia afuera"/>
    <s v="CHICO"/>
    <s v="SOLUCIONADA"/>
    <n v="1502"/>
    <s v="*Orden Solucionada*_x000a_MDM-FIBRA-020005394_x000a_Se ingresa al cliente y se validan tomas telefónicas y caja de distribución en el cuarto del chut.Se realiza sondeo de ductos con dificultad para pasar la sonda por tramo largo se logra pasar la sonda utilizando suavizantes y se valida ruta.Se inicia tendido de fibra óptica desde el punto requerido por el cliente saliendo a la caja de distribución en el cuarto del chut del tercer piso donde se encuentra la CP asignada. Se tienden 40 MTS  de fibra óptica de baja fricción. No se generan daños ni pérdidas durante la validación. Tecnico Fredy Corredor"/>
    <n v="40"/>
    <s v="N/A"/>
    <s v="N/A"/>
    <d v="2026-07-31T00:00:00"/>
    <x v="0"/>
    <x v="4"/>
    <s v="CARRO"/>
  </r>
  <r>
    <s v="JULIO"/>
    <s v="MDM-FIBRA-020003032"/>
    <x v="0"/>
    <x v="0"/>
    <s v="NIT-901186206"/>
    <s v="EDIFICIO ALIANZA 58 - PROPIECDAD HORIZONTAL"/>
    <s v="CL 58 13 68 AD 1"/>
    <s v="ZTE-NETWORKING"/>
    <s v="No se puede realizar instalación ya que no existe comunicación desde la administración hasta la nap para realizar el tendido de la fibra"/>
    <s v="CHICO"/>
    <s v="SOLUCIONADA"/>
    <n v="1502"/>
    <s v="*Orden Solucionada*_x000a_MDM-FIBRA-020003032_x000a_Se realiza validación y se busca la ruta desde la nap asignada hasta el predio. Se tiende fibra desde la nap hasta el  punto requerido por el cliente por canaleta. Se pasa por 5 cajas que están en el techo, Se deja FIBRA en punta en la nap (pdp) y de alli hasta donde se va a dejar el punto._x000a_SE REALIZO CAMBIO DE NAP A LA N3CO05_355. Se utilizan 40 mts de baja fricción. No se generan daños ni pérdidas durante la validación. Tecnico Jesus Silva"/>
    <n v="40"/>
    <s v="N/A"/>
    <s v="N/A"/>
    <d v="2026-07-31T00:00:00"/>
    <x v="0"/>
    <x v="3"/>
    <s v="CARRO"/>
  </r>
  <r>
    <s v="JULIO"/>
    <s v="MDM-FIBRA-019984812"/>
    <x v="0"/>
    <x v="0"/>
    <s v="CC-35254468"/>
    <s v="ADRIANA CAROLINA TORRES CLAVIJO"/>
    <s v="KR 83A 75 50 CA 223"/>
    <s v="ZTE-CONECTAR"/>
    <s v="Técnico valida en predio, sonda no pasa, se requiere cuadrilla de quiebre"/>
    <s v="BACHUE"/>
    <s v="SOLUCIONADA"/>
    <n v="1502"/>
    <s v="*Orden Solucionada*_x000a_MDM-FIBRA-019984812_x000a_Se realiza validación. Se evidencia ducteria obstruida, se aplica jabón líquido y agua caliente dentro del predio y en caja de paso mural. Se extiende fibra desde la NAP, pasando por 4 cajas de paso peatonal (Canalizado) y 1 mural. Se ingresa a predio por toma principal de piso 1 y se deja en punto requerido por el cliente. Se gastan 70 mts de Baja Fricción. No se generan daños ni pérdidas durante la validación. Tecnico Cesar Hernandez"/>
    <n v="70"/>
    <s v="N/A"/>
    <s v="N/A"/>
    <d v="2026-07-31T00:00:00"/>
    <x v="0"/>
    <x v="1"/>
    <s v="CARRO"/>
  </r>
  <r>
    <s v="JULIO"/>
    <s v="MDM-FIBRA-019960538"/>
    <x v="1"/>
    <x v="1"/>
    <s v="CC-1005482532"/>
    <s v="SERGIO ANDRES MONTERO SILVA"/>
    <s v="CL 127A BIS A 15 37 AP 502"/>
    <s v="ZTE-NETWORKING"/>
    <s v=" se valida ruta de acceso a predio presenta obstrucción"/>
    <s v="CHICO"/>
    <s v="SOLUCIONADA"/>
    <n v="1502"/>
    <s v="Orden solucionada _x000a_Se instalan 28 MTRS de drop de baja fricción desde la caja de paso por ducto de citofonia enviamos el drop hasta la toma principal en la cocina .se evidencia que taparon la toma principal d e teléfonos y la toma de citofono de un cuarto por lo tanto tocó enviar el drop por fuera de la toma perfila do por el borde llevando el drop por guardescobas hacia donde se encontraba el anterior servicio donde dejamos reserva para la instalación del servicio . Ya que ahí se evidencian cableado existente UTP q va en ambas direcciones lado oriental y lado occidental del apartamento esto para instalar dos ap ."/>
    <n v="28"/>
    <s v="N/A"/>
    <s v="N/A"/>
    <d v="2026-07-31T00:00:00"/>
    <x v="0"/>
    <x v="2"/>
    <s v="MOTO"/>
  </r>
  <r>
    <s v="JULIO"/>
    <s v="MDM-FIBRA-020000935"/>
    <x v="0"/>
    <x v="0"/>
    <s v="CC-1023861190"/>
    <s v="SOLANYI GARCIA PEREZ"/>
    <s v="KR 2 ESTE 6C 24 TO 1 AP 1801"/>
    <s v="ZTE-BFTEL"/>
    <s v=" no se puede ejecutar ya que no pasa la sonda del apartamento a la caja de piso. Se envía sonda del apartamento hacia la caja y de la caja al apartamento y no pasa la sonda no hay más rutas"/>
    <s v="SANTA INES"/>
    <s v="SOLUCIONADA"/>
    <n v="1502"/>
    <s v="*Orden Solucionada*_x000a_MDM-FIBRA-020000935_x000a_Se ingresa al cliente y se validan tomas telefónicas y caja de distribución en la  bajada de escaleras. _x000a_Se realiza sondeo de ductos en validación la sonda se quedaba en la curva de subida se logra pasar la sonda utilizando métodos de pesca y se válida ruta. Se inicia tendido de fibra óptica desde el punto requerido por el cliente saliendo a la caja de distribución en escalera donde se encuentra la CT asignada. Se utilizan 20 MTS de F.O de baja fricción. No se generan daños ni pérdidas durante la validación. Tecnico Fredy Corredor"/>
    <n v="20"/>
    <s v="N/A"/>
    <s v="N/A"/>
    <d v="2026-07-31T00:00:00"/>
    <x v="0"/>
    <x v="4"/>
    <s v="CARRO"/>
  </r>
  <r>
    <s v="AGOSTO"/>
    <s v="MDM-FIBRA-020000618"/>
    <x v="2"/>
    <x v="2"/>
    <s v="NIT-900089491"/>
    <s v="CONJUNTO PARQUE RESIDENCIAL LOS CEREZOS DE SUBA PH"/>
    <s v="KR 111A 145 87 AD 1"/>
    <s v="ZTE-COLVATEL"/>
    <s v="NO VIABLE, Técnico valida en predio, pero no es viable ya que no hay comunicación de la nap al predio donde va quedar el servicio"/>
    <s v="SUBA"/>
    <s v="NO VIABLE"/>
    <n v="1502"/>
    <s v="NO VIABLE, Técnico valida en predio, pero no es viable ya que no hay comunicación de la nap al predio donde va quedar el servicio"/>
    <s v="N/A"/>
    <s v="N/A"/>
    <s v="N/A"/>
    <d v="2026-07-31T00:00:00"/>
    <x v="0"/>
    <x v="5"/>
    <s v="N/A"/>
  </r>
  <r>
    <s v="AGOSTO"/>
    <s v="MDM-FIBRA-019969840"/>
    <x v="2"/>
    <x v="2"/>
    <s v="CC-35465169"/>
    <s v="ANA SILVIA CRUZ ACEVEDO"/>
    <s v="KR 7 67 09 AP 901"/>
    <s v="ZTE-NETWORKING"/>
    <s v="NO VIABLE,Se llega a predio, se realiza validacion y sondeo desde toma en cuarto principal por ducteria galvanizada, sonda da sólo ingresa 3 mts y tranca, cables existentes no se mueven, hay obstruccion en la ducteria que comunica hacia caja de paso, se valida para realizar tendido por pasillo interno con fibra blanca pero administracion no da autorizacion de cableado por areas comunes, no tenemos mas rutas de acceso hacia el apto. No se generan daños ni pérdidas durante la validacion."/>
    <s v="CHICO"/>
    <s v="NO VIABLE"/>
    <n v="1502"/>
    <s v="NO VIABLE,Se llega a predio, se realiza validacion y sondeo desde toma en cuarto principal por ducteria galvanizada, sonda da sólo ingresa 3 mts y tranca, cables existentes no se mueven, hay obstruccion en la ducteria que comunica hacia caja de paso, se valida para realizar tendido por pasillo interno con fibra blanca pero administracion no da autorizacion de cableado por areas comunes, no tenemos mas rutas de acceso hacia el apto. No se generan daños ni pérdidas durante la validacion."/>
    <s v="N/A"/>
    <s v="N/A"/>
    <s v="N/A"/>
    <d v="2026-08-01T00:00:00"/>
    <x v="0"/>
    <x v="5"/>
    <s v="N/A"/>
  </r>
  <r>
    <s v="AGOSTO"/>
    <s v="MDM-FIBRA-020011394"/>
    <x v="2"/>
    <x v="2"/>
    <s v="PPT-5462916"/>
    <s v="MILAGROS DEL VALLE DUARTE"/>
    <s v="KR 5A 39 29 SUR"/>
    <s v="ZTE-BFTEL"/>
    <s v="NO VIABLE, nap asignado a 4 cuadras, aproximadamente 250 MTS e fibra, naps cercanos copados, no aplica cuadrilla"/>
    <s v="SANTA INES"/>
    <s v="NO VIABLE"/>
    <n v="1502"/>
    <s v="NO VIABLE, nap asignado a 4 cuadras, aproximadamente 250 MTS e fibra, naps cercanos copados, no aplica cuadrilla"/>
    <s v="N/A"/>
    <s v="N/A"/>
    <s v="N/A"/>
    <d v="2026-08-01T00:00:00"/>
    <x v="0"/>
    <x v="5"/>
    <s v="N/A"/>
  </r>
  <r>
    <s v="JULIO"/>
    <s v="MDM-FIBRA-019945932"/>
    <x v="1"/>
    <x v="1"/>
    <s v="CC-51863786"/>
    <s v="ANA MARIA OTERO LUGO"/>
    <s v="KR 14 127 25 AP 706"/>
    <s v="ZTE-NETWORKING"/>
    <s v="Se valida en predio sonda pasa 3 /4 metros se tranca no avanza servicio de claro operativo imposibilidad técnica."/>
    <s v="CHICO"/>
    <s v="SOLUCIONADA"/>
    <n v="1502"/>
    <s v="Orden Solucionada_x000a_MDM-FIBRA-019945932_x000a_Se instalan 40 MTRS de drop de baja fricción desde la caja de paso por ducto de TV enviamos el drop hasta la toma principal ahi es donde usuaria solicita el servicio . Se validaron tomas de teléfono y la toma principal de la cocina quedó tapada con un mueble. No se generan daños ni pérdidas durante la instalacion. Tecnico Edwin diaz"/>
    <n v="40"/>
    <s v="N/A"/>
    <s v="N/A"/>
    <d v="2026-07-31T00:00:00"/>
    <x v="1"/>
    <x v="2"/>
    <s v="MOTO"/>
  </r>
  <r>
    <s v="JULIO"/>
    <s v="MDM-FIBRA-019976315"/>
    <x v="0"/>
    <x v="0"/>
    <s v="CC-1001168075"/>
    <s v="YENSY VALENTINA LOPEZ NOVA"/>
    <s v="TV 73B 57R 89 SUR TO 2 AP 102"/>
    <s v="ZTE-FODEN"/>
    <s v="Ducteria obstruida "/>
    <s v="MUZU"/>
    <s v="NO VIABLE"/>
    <n v="1502"/>
    <s v="MDM-FIBRA-019976315_x000a_estado caso_x000a_NO CONTACTADO_x000a_observaciones_x000a_CD HORA:14:47 TK:174065 ORDEN:MDM-FIBRA-019976315 NOTAS CD : 3013874666 no contestan 3134288331 no contestan BACK:YESSICA DIAZ NOTAS TECNICO: cuadrilla en predio, se marca a contactos sin respuesta, seguridad indica que no hay no hay nadie"/>
    <s v="N/A"/>
    <s v="N/A"/>
    <s v="N/A"/>
    <d v="2026-07-31T00:00:00"/>
    <x v="1"/>
    <x v="0"/>
    <s v="CARRO"/>
  </r>
  <r>
    <s v="JULIO"/>
    <s v="MDM-FIBRA-019994727"/>
    <x v="0"/>
    <x v="0"/>
    <s v="NIT-901478770"/>
    <s v="MONTOYA Y FLOREZ ABOGADOS SA"/>
    <s v="KR 11A 93 61 OF 402"/>
    <s v="ZTE-NETWORKING"/>
    <s v="se valida en predio, dónde se envía sonda, avanza aproximadamente 2 metros y se encuentra obstrucción, toca cablear desde predio hasta la furukawa ubicada en sótano 2"/>
    <s v="CHICO"/>
    <s v="NO VIABLE"/>
    <n v="1502"/>
    <s v="*Orden No viable*_x000a_MDM-FIBRA-019994727_x000a_Se llega a predio, se habla con el usuario el cual autoriza realizar validación, se obtiene ruta desde el cuarto de equipos hasta el pasillo cerca al ascensor y desde el Sótano 2 hasta el Sótano 1. De piso 4 a Sótano 1 no se puede realizar sondeo ya que al foso existente no se logra llegar ya que esta retirado para poder realizar sondeo. Única ruta de comunicación. Las únicas fibras existentes son 3 canales dedicados, los cuales están todos activos y tampoco existen  guías que comuniquen del 4 piso a Sótano 1. No se generan daños ni pérdidas durante la validacion. autoriza supervisor Yeison martinez."/>
    <s v="N/A"/>
    <s v="N/A"/>
    <s v="N/A"/>
    <d v="2026-07-30T00:00:00"/>
    <x v="1"/>
    <x v="1"/>
    <s v="CARRO"/>
  </r>
  <r>
    <s v="JULIO"/>
    <s v="MDM-FIBRA-019966250"/>
    <x v="0"/>
    <x v="0"/>
    <s v="CC-80903229"/>
    <s v="OSCAR EDUARDO RAYO SANCHEZ"/>
    <s v="KR 31B 5C 10 LC 2"/>
    <s v="ZTE-BFTEL"/>
    <s v="drop a nap desde local piso 1 a sótano, sonda tranca, sin cables, posible ducto desempatado, sin operador"/>
    <s v="CUNI"/>
    <s v="APLAZAMIENTO"/>
    <n v="1502"/>
    <s v="Aplazamiento_x000a_MDM-FIBRA-019966250_x000a_estado caso_x000a_AGENDADO OK CUADRILLA_x000a_observaciones_x000a_TK:173959 ORDEN:MDM-FIBRA-019966250 NOTAS CD : 3224514425-3105653670 OSCAR EDUARDO RAYO SANCHEZ cliente recibe mañana pm BACK:YESSICA DIAZ NOTAS TECNICO: cuadrilla en predio, se marca a contacto, cliente india que se encuentra de viaje, solicita que le marquen para programar visita"/>
    <s v="N/A"/>
    <s v="N/A"/>
    <s v="N/A"/>
    <d v="2026-07-31T00:00:00"/>
    <x v="1"/>
    <x v="3"/>
    <s v="CARRO"/>
  </r>
  <r>
    <s v="JULIO"/>
    <s v="MDM-FIBRA-019967936"/>
    <x v="0"/>
    <x v="0"/>
    <s v="CC-1023897931"/>
    <s v="LADY NATALY MORALES RODRIGUEZ"/>
    <s v="DG 17C SUR 24I 49"/>
    <s v="ZTE-BFTEL"/>
    <s v="Orden no se puede ejecutar ya que no pasa la sonda de la caja de paso al rac al parecer hay otra caja sellada"/>
    <s v="SANTA INES"/>
    <s v="APLAZAMIENTO"/>
    <n v="1502"/>
    <s v="Aplazamiento_x000a_MDM-FIBRA-019967936_x000a_estado caso_x000a_AGENDADO OK CUADRILLA_x000a_observaciones_x000a_CD HORA:2026-08-03 09:19:34 TK:173966 ORDEN:MDM-FIBRA-019967936 NOTAS U OBSERVACIONES CLARAS: Cliente LADY NATALY MORALES RODRIGUEZ numero de contacto 3154403804 indica que puede recibir el dia martes am1 BACK:DANNA CORREA NOTAS TECNICO: cuadrilla en predio, cliente indica que no puede recibir, solicita reprogramar para el dia 04-08 en am"/>
    <s v="N/A"/>
    <s v="N/A"/>
    <s v="N/A"/>
    <d v="2026-07-31T00:00:00"/>
    <x v="1"/>
    <x v="0"/>
    <s v="CARRO"/>
  </r>
  <r>
    <s v="AGOSTO"/>
    <s v="MDM-FIBRA-019960600"/>
    <x v="0"/>
    <x v="0"/>
    <s v="CC-1042063958"/>
    <s v="MATEO DELGADO GALEANO"/>
    <s v="KR 13A 20 95 AP 405"/>
    <s v="ZTE-COLVATEL"/>
    <s v=" encuentra obstrucción entre cajas de paso toca cablear de pto hasta nap "/>
    <s v="CUNI"/>
    <s v="NO VIABLE"/>
    <n v="1502"/>
    <s v="MDM-FIBRA-019960600_x000a_estado caso_x000a_NO CONTACTADO_x000a_observaciones_x000a_CD HORA:2026-08-03 08:52:21 TK:173958 ORDEN:MDM-FIBRA-019960600 NOTAS U OBSERVACIONES CLARAS:MATEO DELGADO GALEANO 3113738238 BUZON DE MENSAJES SIN RESPUESTA NUMERO DE CONTACTO BACK: NATALIA JULIO NOTAS TECNICO:cuadrilla en predio, se marca a contacto sin respuesta Herrera Cantor Edison Javier"/>
    <s v="N/A"/>
    <s v="N/A"/>
    <s v="N/A"/>
    <d v="2026-08-01T00:00:00"/>
    <x v="1"/>
    <x v="1"/>
    <s v="CARRO"/>
  </r>
  <r>
    <s v="AGOSTO"/>
    <s v="MDM-FIBRA-019992823"/>
    <x v="0"/>
    <x v="0"/>
    <s v="CC-1057591172"/>
    <s v="JAVIER DAVID RIOS SANCHEZ"/>
    <s v="CL 12A 71B 60 ET 2 CA 171"/>
    <s v="ZTE-COLVATEL"/>
    <s v="obstrucción entre cajas de paso para llegar a la nap asignada"/>
    <s v="FONTIBON"/>
    <s v="SOLUCIONADA"/>
    <n v="1502"/>
    <s v="*Orden Solucionada*_x000a_MDM-FIBRA-019992823_x000a_Se llega a predio, se habla con el usuario, se realiza validación y se busca la ruta desde la nap asignada hasta el predio. Se gastan 60 mts de baja fricción. No se generan daños ni pérdidas durante la instalacion. Tecnico jesus silva"/>
    <n v="60"/>
    <s v="N/A"/>
    <s v="N/A"/>
    <d v="2026-08-01T00:00:00"/>
    <x v="1"/>
    <x v="3"/>
    <s v="CARRO"/>
  </r>
  <r>
    <s v="AGOSTO"/>
    <s v="MDM-FIBRA-019999432"/>
    <x v="0"/>
    <x v="0"/>
    <s v="CC-1140870987"/>
    <s v="LAURENT MARCELA OSORIO ELJAIK"/>
    <s v="CL 4 31 17 AP 301"/>
    <s v="ZTE-COLVATEL"/>
    <s v="realiza validación Obstrucción  no pasa la sonda"/>
    <s v="CUNI"/>
    <s v="NO VIABLE"/>
    <n v="1502"/>
    <s v="MDM-FIBRA-019999432_x000a_NO CONTACTADO_x000a_observaciones_x000a_CD HORA:8:29 TK:173953 ORDEN:MDM-FIBRA-019999432 NOTAS CD : 3187661584-3103206153 no contestan BACK:YESSICA DIAZ NOTAS TECNICO: cuadrilla en predio, se marca a contactos sin respuesta"/>
    <s v="N/A"/>
    <s v="N/A"/>
    <s v="N/A"/>
    <d v="2026-08-01T00:00:00"/>
    <x v="1"/>
    <x v="3"/>
    <s v="CARRO"/>
  </r>
  <r>
    <s v="AGOSTO"/>
    <s v="MDM-FIBRA-020004279"/>
    <x v="0"/>
    <x v="0"/>
    <s v="CC-9314168"/>
    <s v="HERNANDO RAFAEL MULETT HOYOS"/>
    <s v="CL 127 19A 10 CN 409"/>
    <s v="ZTE-COLVATEL"/>
    <s v="ducteria obstruida se busca por todo lado no hay probabilidad de ingresar el cable a hacia la zona comun"/>
    <s v="CHICO"/>
    <s v="SOLUCIONADA"/>
    <n v="1502"/>
    <s v="*Orden Solucionada*_x000a_MDM-FIBRA-020004279_x000a_Se llega a predio, se habla con el usuario el cual autoriza realizar validación. Se evidencia ducteria obstruida, se aplica jabón líquido y agua caliente dentro del predio. Por último se realiza pesca. Se tiende fibra desde el cuarto de telecomunicaciones, se ingresa por pasillo de consultorios, se figura por guardaescobas, se ingresa a consultorio por perforación realizada y se deja en punto requerido. Se gastan 50 mts de Baja Fricción. No se generan daños ni pérdidas durante la instalacion. Tecnico cesar hernandez_x000a_"/>
    <n v="50"/>
    <s v="N/A"/>
    <s v="N/A"/>
    <d v="2026-08-01T00:00:00"/>
    <x v="1"/>
    <x v="1"/>
    <s v="CARRO"/>
  </r>
  <r>
    <s v="AGOSTO"/>
    <s v="MDM-FIBRA-019997449"/>
    <x v="1"/>
    <x v="1"/>
    <s v="CC-17658060"/>
    <s v="CARLOS ANDRES RAMIREZ SEGURA"/>
    <s v="KR 91 137 59 TO 1 AP 1408"/>
    <s v="ZTE-NETWORKING"/>
    <s v="ducteria obstruida se busca por todo lado no hay probabilidad de ingresar el cable zona comun"/>
    <s v="SUBA"/>
    <s v="APLAZAMIENTO"/>
    <n v="1502"/>
    <s v="Aplazamiento_x000a_MDM-FIBRA-019997449_x000a_estado caso_x000a_AGENDADO OK CUADRILLA_x000a_observaciones_x000a_CD HORA:11:56 TK:174013 ORDEN:MDM-FIBRA-019997449 NOTAS CD : 3001381929 CARLOS ANDRÉS RAMÍREZ SEGURA cliente reagenda para el sabado am BACK:YESSICA DIAZ NOTAS TECNICO: cuadrilla en predio, cliente indica que no sabía de la visita,, solicita reprogramar para el dia sabado 08-08 en am"/>
    <s v="N/A"/>
    <s v="N/A"/>
    <s v="N/A"/>
    <d v="2026-08-01T00:00:00"/>
    <x v="1"/>
    <x v="2"/>
    <s v="MOTO"/>
  </r>
  <r>
    <s v="AGOSTO"/>
    <s v="MDM-FIBRA-020006759"/>
    <x v="0"/>
    <x v="0"/>
    <s v="CC-1033706138"/>
    <s v="CINDY DAHANA SIERRA RODRIGUEZ"/>
    <s v="KR 98B 72 25 SUR CA 241"/>
    <s v="ZTE-COLVATEL"/>
    <s v=" Realiza validación obstrucción de nap a predio pasando por 3 cdp"/>
    <s v="HOLANDA"/>
    <s v="SOLUCIONADA"/>
    <n v="1502"/>
    <s v="*Orden Solucionada*_x000a_MDM-FIBRA-020006759_x000a_Se ingresa al cliente, se validan tomas telefónicas y caja de distribución en anden, se realiza sondeo de ductos se logra pasar la sonda, se realiza el tendido de fibra óptica desde el punto requerido por el cliente saliendo a la caja de distribución en anden pasando por tres cajas más y llegando a la caja CPS donde se encuentra la nap asignada. Se gastan 90 mts de F.O de baja fricción. No se generan daños ni pérdidas durante la instalacion. Tecnico fredy corredor"/>
    <n v="90"/>
    <s v="N/A"/>
    <s v="N/A"/>
    <d v="2026-08-01T00:00:00"/>
    <x v="1"/>
    <x v="4"/>
    <s v="CARRO"/>
  </r>
  <r>
    <s v="AGOSTO"/>
    <s v="MDM-FIBRA-020014659"/>
    <x v="0"/>
    <x v="0"/>
    <s v="CC-1024552956"/>
    <s v="HEINER DANILO LOZANO LOZANO"/>
    <s v="KR 97C 49C 15 SUR CA 65"/>
    <s v="ZTE-CONECTAR"/>
    <s v="Técnico valida en predio, sonda no pasa, se requiere cuadrilla de quiebre "/>
    <s v="HOLANDA"/>
    <s v="APLAZAMIENTO"/>
    <n v="1502"/>
    <s v="*Aplazamiento*_x000a_MDM-FIBRA-020014659_x000a_estado caso_x000a_NO CONTACTADO_x000a_observaciones_x000a_CD HORA:2026-08-03 10:33:49 TK:173987 ORDEN:MDM-FIBRA-020014659 NOTAS U OBSERVACIONES CLARAS: HEINER DANILO LOZANO LOZANO 3224777313 SIN RESPUESTA NUMERO DE CONTACTO, BUZON DE VOZ BACK: NATALIA JULIO NOTAS TECNICO:cuadrilla en predio, se marca a contacto, cliente indica que no puede recibir, solicita reprogramar para el dia 08-08 en pm Quintero Gomez Carlos Andres"/>
    <s v="N/A"/>
    <s v="N/A"/>
    <s v="N/A"/>
    <d v="2026-08-01T00:00:00"/>
    <x v="1"/>
    <x v="4"/>
    <s v="CARRO"/>
  </r>
  <r>
    <s v="AGOSTO"/>
    <s v="MDM-FIBRA-019976412"/>
    <x v="0"/>
    <x v="0"/>
    <s v="CC-41703281"/>
    <s v="MARGARITA TILAGUY VANEGAS"/>
    <s v="DG 62 SUR 20B 30 CA 133"/>
    <s v="ZTE-FODEN"/>
    <s v="Ducteria obstruida "/>
    <s v="MUZU"/>
    <s v="SOLUCIONADA"/>
    <n v="1502"/>
    <s v="Orden Solucionada_x000a_MDM-FIBRA-019976412_x000a_Se realiza  validacion y sondeo desde caja telefonica ubicada en la sala, se envía sonda a caja fachada, desde alli hasta llegar a caja de paso, luego a caja de paso donde se encuentra la nap asignada.  En predio se deba donde es requerido. Se gastan 50 Mts Baja Friccion. No se generan daños ni pérdidas durante la instalacion. Tecnico luis hoyos"/>
    <n v="50"/>
    <s v="N/A"/>
    <s v="N/A"/>
    <d v="2026-08-01T00:00:00"/>
    <x v="1"/>
    <x v="0"/>
    <s v="CARRO"/>
  </r>
  <r>
    <s v="AGOSTO"/>
    <s v="MDM-FIBRA-020022595"/>
    <x v="0"/>
    <x v="0"/>
    <s v="CC-52162637"/>
    <s v="RUTH DANY CABALLERO CHICACAUSA"/>
    <s v="CL 47B SUR 23A 70 IN 8 AP 215"/>
    <s v="ZTE-FODEN"/>
    <s v="Ducteria obstruida"/>
    <s v="MUZU"/>
    <s v="NO VIABLE"/>
    <n v="1502"/>
    <s v="MDM-FIBRA-020022595_x000a_estado caso_x000a_NO CONTACTADO_x000a_observaciones_x000a_CD HORA:2026-08-03 TK:173961 ORDEN:MDM-FIBRA-020022595 NOTAS U OBSERVACIONES CLARAS: RUTH DANY CABALLERO CHICACAUSA 3142598533 3223611789 SIN RESPUESTA AMBOS NUMEROS DE CONTACTO, BUZON DE MENSAJES BACK: NATALIA JULIO NOTAS TECNICO:cuadrilla en predio, se marca a contactos sin respuesta, seguridad indica que no responde DIEGO ALEJANDRO CARDONA GUEVARA"/>
    <s v="N/A"/>
    <s v="N/A"/>
    <s v="N/A"/>
    <d v="2026-08-01T00:00:00"/>
    <x v="1"/>
    <x v="4"/>
    <s v="CARRO"/>
  </r>
  <r>
    <s v="AGOSTO"/>
    <s v="MDM-FIBRA-020011525"/>
    <x v="2"/>
    <x v="2"/>
    <s v="CC-51915296"/>
    <s v="DELIA YOLIMA ROZO BRICEÑO"/>
    <s v="DG 3B 8 55 ESTE PI 2"/>
    <s v="ZTE-BFTEL"/>
    <s v="Orden no se puede ejecutar ya que en la nap asignada hay un panal de abejas por lo cual no podemos llegar hasta la nap ya que tenemos un riesgo biológico. No tenemos más nap cerca para realizar un cambio "/>
    <s v="SANTA INES"/>
    <s v="NO VIABLE"/>
    <n v="1502"/>
    <s v="No viable/Orden no se puede ejecutar ya que en la nap asignada hay un panal de abejas por lo cual no podemos llegar hasta la nap ya que tenemos un riesgo biológico. No tenemos más nap cerca para realizar un cambio "/>
    <s v="N/A"/>
    <s v="N/A"/>
    <s v="N/A"/>
    <d v="2026-08-03T00:00:00"/>
    <x v="1"/>
    <x v="5"/>
    <s v="N/A"/>
  </r>
  <r>
    <s v="AGOSTO"/>
    <s v="MDM-FIBRA-020007805"/>
    <x v="2"/>
    <x v="2"/>
    <s v="CC-1018404700"/>
    <s v="ANGELA CATALINA ABRIL GARCIA"/>
    <s v="KR 4 17 87 PI 2"/>
    <s v="ZTE-BFTEL"/>
    <s v="Cuadrilla quiebres realizo validación con la orden MDM-FIBRA-019897049 indican; Se llega a predio, se habla con el usuario el cual autoriza realizar validación. Se realiza validación desde predio hasta primer caja de paso en anden. Se realiza sondeo con sonda amarilla desde caja de paso peatonal hacia cámara donde se encuentra nap asignada pero sonda tranca. se evidencia ducto caído que llega a cámara. sonda se alcanza a oír al fondo que golpea pero no avanza ni hace curva. única ruta de acceso desde la nap asígnada. No se generan daños ni pérdidas durante la validacion. autoriza supervisor yeison martinez"/>
    <s v="CUNI"/>
    <s v="NO VIABLE"/>
    <n v="1502"/>
    <s v="Cuadrilla quiebres realizo validación con la orden MDM-FIBRA-019897049 indican; Se llega a predio, se habla con el usuario el cual autoriza realizar validación. Se realiza validación desde predio hasta primer caja de paso en anden. Se realiza sondeo con sonda amarilla desde caja de paso peatonal hacia cámara donde se encuentra nap asignada pero sonda tranca. se evidencia ducto caído que llega a cámara. sonda se alcanza a oír al fondo que golpea pero no avanza ni hace curva. única ruta de acceso desde la nap asígnada. No se generan daños ni pérdidas durante la validacion. autoriza supervisor yeison martinez"/>
    <s v="N/A"/>
    <s v="N/A"/>
    <s v="N/A"/>
    <d v="2026-08-03T00:00:00"/>
    <x v="1"/>
    <x v="5"/>
    <s v="N/A"/>
  </r>
  <r>
    <s v="AGOSTO"/>
    <s v="MDM-FIBRA-020007742"/>
    <x v="0"/>
    <x v="0"/>
    <s v="CC-52962990"/>
    <s v="JOHANNA LOZANO RAMIREZ"/>
    <s v="KR 41A 8 25 SUR AP 306"/>
    <s v="ZTE-BFTEL"/>
    <s v=" se evidencia que hay una obstrucción desde la caja de paso hacia  el apt , se sondea  y la sonda tranca  , se sondea viseverda  y tranca igualmente, la ruta va desde la toma de telefono hasta la nap"/>
    <s v="CUNI"/>
    <s v="SOLUCIONADA"/>
    <n v="1502"/>
    <s v="Orden Solucionada_x000a_MDM-FIBRA-020007742_x000a_Se llega a predio, se habla con el usuario, se realiza validación y se busca la ruta desde la nap asignada hasta el predio.  Se gastan 50 mts de baja fricción.  No se generan daños ni pérdidas durante la instalacion. Tecnico jesus silva"/>
    <n v="50"/>
    <s v="N/A"/>
    <s v="N/A"/>
    <d v="2026-08-03T00:00:00"/>
    <x v="1"/>
    <x v="3"/>
    <s v="CARRO"/>
  </r>
  <r>
    <s v="AGOSTO"/>
    <s v="MDM-FIBRA-020006101"/>
    <x v="0"/>
    <x v="0"/>
    <s v="CC-1015999518"/>
    <s v="DIANA KARINA CELY TEATINO"/>
    <s v="KR 98A 15A 70 IN 18 AP 103"/>
    <s v="ZTE-COLVATEL"/>
    <s v="obstrucción entre tubería de paso de predio a pasillo sonda avanza aproximadamente un metro y tranca"/>
    <s v="FONTIBON"/>
    <s v="CANCELADA"/>
    <n v="1501"/>
    <s v="Orden Cancelada_x000a_MDM-FIBRA-020006101_x000a_estado caso_x000a_CLIENTE DESISTE_x000a_observaciones_x000a_CD HORA:8:56 TK:174145 ORDEN:MDM-FIBRA-020006101 NOTAS CD : 3118146294 DIANA KARINA CELY TEATINO cliente canceló servicio BACK:YESSICA DIAZ NOTAS TECNICO: cuadrilla en predio, cliente indica que decidió cancelar el servicio"/>
    <s v="N/A"/>
    <s v="N/A"/>
    <s v="N/A"/>
    <d v="2026-08-01T00:00:00"/>
    <x v="2"/>
    <x v="3"/>
    <s v="CARRO"/>
  </r>
  <r>
    <s v="AGOSTO"/>
    <s v="MDM-FIBRA-020016834"/>
    <x v="0"/>
    <x v="0"/>
    <s v="CC-52900904"/>
    <s v="EDITH ANDREA QUECANO SALGADO"/>
    <s v="KR 81B 19B 50 BQ 13 AP 302"/>
    <s v="ZTE-COLVATEL"/>
    <s v="OBSTRUCCIÓN ENTRE CAJAS DE COMUNICACIÓN INTERNAS DEL PREDIO DONDE SE ESTÁ REALIZANDO LA INSTALACIÓN HAY CABLES DE GUÍA CLIENTE PIDE NO MOVER CABLES YA QUE SON DE OTRO OPERADOR "/>
    <s v="FONTIBON"/>
    <s v="APLAZAMIENTO"/>
    <n v="1502"/>
    <s v="Aplazamiento_x000a_MDM-FIBRA-020016834_x000a_estado caso_x000a_NO CONTACTADO_x000a_observaciones_x000a_CD HORA:9:580 TK:174161 ORDEN:MDM-FIBRA-020016834 NOTAS CD : 3213718009-3132097619 apagados BACK:YESSICA DIAZ NOTAS TECNICO: cuadrilla en predio, cliente indica que no sabía de visita, solicita reprogramar para el dia 05-08 en pm"/>
    <s v="N/A"/>
    <s v="N/A"/>
    <s v="N/A"/>
    <d v="2026-08-01T00:00:00"/>
    <x v="2"/>
    <x v="3"/>
    <s v="CARRO"/>
  </r>
  <r>
    <s v="AGOSTO"/>
    <s v="MDM-FIBRA-019972569"/>
    <x v="0"/>
    <x v="0"/>
    <s v="CC-52250850"/>
    <s v="LIDA EDITH NUÑEZ VALENCIA"/>
    <s v="KR 81B 6B 85 CA 63"/>
    <s v="ZTE-CONECTAR"/>
    <s v=" Ducteria obstruida no pasa sonda se requiere apoyo de cuadrilla quiebre"/>
    <s v="HOLANDA"/>
    <s v="APLAZAMIENTO"/>
    <n v="1502"/>
    <s v="Aplazamiento_x000a_MDM-FIBRA-019972569_x000a_estado caso_x000a_NO CONTACTADO_x000a_observaciones_x000a_CD HORA:2026-08-04 11:06:55 TK:174189 ORDEN:MDM-FIBRA-019972569 NOTAS U OBSERVACIONES CLARAS: LIDA EDITH NUÑEZ VALENCIA 3209554652 SIN RESPUESTA NUMERO DE CONTACTO, SE VA DIRECTO BUZON DE VOZ BACK: NATALIA JULIO NOTAS TECNICO:cuadrilla e predio, se marca a contacto, cliente solicita reprogramar para el dia 08-08 BRAYAN STIFT PINEDA RUIZ"/>
    <s v="N/A"/>
    <s v="N/A"/>
    <s v="N/A"/>
    <d v="2026-08-01T00:00:00"/>
    <x v="2"/>
    <x v="1"/>
    <s v="CARRO"/>
  </r>
  <r>
    <s v="AGOSTO"/>
    <s v="MDM-FIBRA-019971855"/>
    <x v="1"/>
    <x v="1"/>
    <s v="CC-51798649"/>
    <s v="MARTHA CECILIA TRIANA RESTREPO"/>
    <s v="KR 19 127D 55 IN 3 AP 704"/>
    <s v="ZTE-NETWORKING"/>
    <s v="se valida ruta de acceso a predio presenta obstrucción la sonda solo pasa unos dos metros"/>
    <s v="CHICO"/>
    <s v="SOLUCIONADA"/>
    <n v="1502"/>
    <s v="*Orden Solucionada*_x000a_MDM-FIBRA-019971855_x000a_Se instalan 24 mtrs de drop de baja fricción desde la caja de paso, por ducto de telefonía enviamos el drop hasta la toma principal,  salimos de la toma perfilando el drop por el guardescobas llegando al punto indicado por la usuaria. Para un punto de TV o AP el técnico debe devolver hasta la toma principal y enviar otro UTP por toma principal para llegar ala habitación principal donde solicitan un ap. cableado existente en el ducto para devolver con el UTP. No se generan daños ni pérdidas durante la instalacion. Tecnico edwin diaz"/>
    <n v="24"/>
    <s v="N/A"/>
    <s v="N/A"/>
    <d v="2026-08-03T00:00:00"/>
    <x v="2"/>
    <x v="2"/>
    <s v="MOTO"/>
  </r>
  <r>
    <s v="AGOSTO"/>
    <s v="MDM-FIBRA-019966624"/>
    <x v="0"/>
    <x v="0"/>
    <s v="CC-4339315"/>
    <s v="ANDRES ALFREDO MARIN FRANCO"/>
    <s v="KR 90 6D 48 CA 172"/>
    <s v="ZTE-COLVATEL"/>
    <s v=" realiza validacion, encuentra obstrucción entre cajas de paso a cámaras toca cablear de pto hasta nap"/>
    <s v="FONTIBON"/>
    <s v="SOLUCIONADA"/>
    <n v="1502"/>
    <s v="*Orden Solucionada*_x000a_*Hilado*_x000a_MDM-FIBRA-019966624_x000a_Se llega a predio, se habla con el usuario el cual autoriza realizar validación, se evidencia ducteria en cascada y obstruida. Se aplica jabón líquido, agua caliente dentro del predio y en cajas de paso mural, por último se realizan varias pescas. Se realiza hilado desde la *NAP PRECONECTORIZADA*, pasando por 2 cajas de paso peatonal (Canalizado) y 5 murales. Se ingresa a predio por toma principal en piso 2 y se deja en punto requerido. No se generan daños ni pérdidas durante la instalacion. Tecnico cesar hernandez"/>
    <s v="N/A"/>
    <s v="N/A"/>
    <s v="N/A"/>
    <d v="2026-08-03T00:00:00"/>
    <x v="2"/>
    <x v="1"/>
    <s v="CARRO"/>
  </r>
  <r>
    <s v="AGOSTO"/>
    <s v="MDM-FIBRA-020006628"/>
    <x v="2"/>
    <x v="2"/>
    <s v="CC-51999391"/>
    <s v="MARIA DEL CARMEN CASTRO CAMACHO"/>
    <s v="CL 80 111C 98"/>
    <s v="ZTE-COLVATEL"/>
    <s v="no tenemos como enviar el cableado hasta la nap inicial que se encuentra dentro de un conjunto donde no hay cajas de paso dentro del local Se valída afuera y solo hay una caja que tiene comunicación a otro local la cual tiene comunicación con una etapa de codensa "/>
    <s v="BACHUE"/>
    <s v="NO VIABLE"/>
    <n v="1502"/>
    <s v="No viable//no tenemos como enviar el cableado hasta la nap inicial que se encuentra dentro de un conjunto donde no hay cajas de paso dentro del local Se valída afuera y solo hay una caja que tiene comunicación a otro local la cual tiene comunicación con una etapa de codensa "/>
    <s v="N/A"/>
    <s v="N/A"/>
    <s v="N/A"/>
    <d v="2026-08-03T00:00:00"/>
    <x v="2"/>
    <x v="5"/>
    <s v="N/A"/>
  </r>
  <r>
    <s v="AGOSTO"/>
    <s v="MDM-FIBRA-019994098"/>
    <x v="0"/>
    <x v="0"/>
    <s v="CC-1116821470"/>
    <s v="DULCE COROMOTO CACERES CARRERO"/>
    <s v="TV 73B 57R 89 SUR TO 2 AP 304"/>
    <s v="ZTE-FODEN"/>
    <s v="se llega al predio se valida caja de paso  que va hacia el apartamento pero  esta obstruida no llega el cable se envia evidencia y cliente queda enterado"/>
    <s v="MUZU"/>
    <s v="SOLUCIONADA"/>
    <n v="1502"/>
    <s v="Orden Solucionada_x000a_MDM-FIBRA-019994098_x000a_Se ingresa al cliente, se validan tomas telefónicas y caja de distribución en pasillo, se realiza sondeo de ductos tramo largo y se logra pasar la sonda, se valida tendido de fibra óptica desde el punto requerido por el cliente saliendo a la caja de distribución en pasillo y posteriormente bajando al segundo piso donde se encuentra la nap asignada. Se gastan 35 MTS de F.O de baja fricción. No se generan daños ni pérdidas durante la instalacion. Tecnico fredy corredor"/>
    <n v="35"/>
    <s v="N/A"/>
    <s v="N/A"/>
    <d v="2026-08-03T00:00:00"/>
    <x v="2"/>
    <x v="4"/>
    <s v="CARRO"/>
  </r>
  <r>
    <s v="AGOSTO"/>
    <s v="MDM-FIBRA-019997992"/>
    <x v="0"/>
    <x v="0"/>
    <s v="CC-52740736"/>
    <s v="YOLIMA BELTRAN MEDINA"/>
    <s v="CL 50 SUR 95A 80 CA 225"/>
    <s v="ZTE-CONECTAR"/>
    <s v="por duceteria obstruida no pasa sonda"/>
    <s v="HOLANDA"/>
    <s v="SOLUCIONADA"/>
    <n v="1502"/>
    <s v="*Orden Solucionada*_x000a_MDM-FIBRA-019997992_x000a_Se empieza validacion y sondeo desde caja telefonica, se pasa a caja fachada hasta llegar a caja de paso en piso, se cruza por  una 2 caja de paso hasta llegar al strip telefonico, y desde alli hasta llegar a la nap asignada. En predio se deja reserva en primer piso ya que donde van a dejar la ONT, esta con candado. Se gastan 90 mts Baja Friccion. No se generan daños ni pérdidas durante la instalacion. Tecnico luis hoyos"/>
    <n v="90"/>
    <s v="N/A"/>
    <s v="N/A"/>
    <d v="2026-08-03T00:00:00"/>
    <x v="2"/>
    <x v="0"/>
    <s v="CARRO"/>
  </r>
  <r>
    <s v="AGOSTO"/>
    <s v="MDM-FIBRA-019905352"/>
    <x v="0"/>
    <x v="0"/>
    <s v="CC-41746633"/>
    <s v="MARIA MARLENI MONTAÑEZ SANCHEZ"/>
    <s v="KR 81J 56 86 SUR IN 7 AP 504"/>
    <s v="ZTE-CONECTAR"/>
    <s v="Se evidencia que la ductería esta obstruida, no pasa sonda"/>
    <s v="HOLANDA"/>
    <s v="NO VIABLE"/>
    <n v="1502"/>
    <s v="MDM-FIBRA-019905352_x000a_estado caso_x000a_NO CONTACTADO_x000a_observaciones_x000a_CD HORA:2026-08-04 09:11:08 TK:174148 ORDEN:MDM-FIBRA-019905352 NOTAS U OBSERVACIONES CLARAS: Cliente MARIA MARLENI MONTAÑEZ SANCHEZ numero de contacto 3202960242 no contactado BACK:NICOLL LOPEZ NOTAS TECNICO:cuadrilla en predio, se marca a contacto sin respuesta, seguridad no da informacion"/>
    <s v="N/A"/>
    <s v="N/A"/>
    <s v="N/A"/>
    <d v="2026-08-03T00:00:00"/>
    <x v="2"/>
    <x v="0"/>
    <s v="CARRO"/>
  </r>
  <r>
    <s v="AGOSTO"/>
    <s v="MDM-FIBRA-019667097"/>
    <x v="0"/>
    <x v="0"/>
    <s v="CC-52917056"/>
    <s v="YAMILE RAMIREZ SANCHEZ"/>
    <s v="KR 93D 6A 15 IN 9 AP 202"/>
    <s v="ZTE-CONECTAR"/>
    <s v="Ducteria obstruida no pasa sonda se requiere apoyo de cuadrilla"/>
    <s v="SANTA PAZ"/>
    <s v="APLAZAMIENTO"/>
    <n v="1502"/>
    <s v="Aplazamiento_x000a_MDM-FIBRA-019667097_x000a_estado caso_x000a_AGENDADO OK CUADRILLA_x000a_observaciones_x000a_CD HORA:2026-08-04 10:11:44 TK:174171 ORDEN:MDM-FIBRA-019667097 NOTAS U OBSERVACIONES CLARAS: Cliente YAMILE RAMIREZ SANCHEZ numero de contacto 3142747346 recibe dia sabado am1 en la tarde no permiten ingresar BACK:NICOLL LOPEZ NOTAS TECNICO:cuadrilla en predio, se marca a contacto, cliente indica que no puede atender, solicita reprogramar para el dia sabado 08-8 en am"/>
    <s v="N/A"/>
    <s v="N/A"/>
    <s v="N/A"/>
    <d v="2026-08-03T00:00:00"/>
    <x v="2"/>
    <x v="1"/>
    <s v="CARRO"/>
  </r>
  <r>
    <s v="AGOSTO"/>
    <s v="MDM-FIBRA-020006778"/>
    <x v="0"/>
    <x v="0"/>
    <s v="CC-66870537"/>
    <s v="GLADIS ADRIANA AGUDELO GAMBOA"/>
    <s v="CL 50 SUR 95A 80 CA 222"/>
    <s v="ZTE-CONECTAR"/>
    <s v="Ducteria obstruida no pasa sonda, Se realiza validación donde encontramos tubería obstruida tubo se encuentra roto y lleno de barro lo cual la sonda no pasa"/>
    <s v="HOLANDA"/>
    <s v="SOLUCIONADA"/>
    <n v="1502"/>
    <s v="Orden Solucionada_x000a_MDM-FIBRA-020006778_x000a_Se realiza validacion y sondeo desde caja telefonica, se pasa a caja fachada, hasta llegar a caja de paso en piso, se cruza por una 2 cajas de paso hasta llegar al strip telefonico, hasta llegar a la nap asignada.  En predio se deja donde es requerido.se gastan 60 mts Baja Friccion. No se generan daños ni pérdidas durante la instalacion. Tecnico Luis hoyos"/>
    <n v="60"/>
    <s v="N/A"/>
    <s v="N/A"/>
    <d v="2026-08-03T00:00:00"/>
    <x v="2"/>
    <x v="0"/>
    <s v="CARRO"/>
  </r>
  <r>
    <s v="JULIO"/>
    <s v="MDM-FIBRA-019967936"/>
    <x v="0"/>
    <x v="0"/>
    <s v="CC-1023897931"/>
    <s v="LADY NATALY MORALES RODRIGUEZ"/>
    <s v="DG 17C SUR 24I 49"/>
    <s v="ZTE-BFTEL"/>
    <s v="Orden no se puede ejecutar ya que no pasa la sonda de la caja de paso al rac al parecer hay otra caja sellada"/>
    <s v="SANTA INES"/>
    <s v="SOLUCIONADA"/>
    <n v="1502"/>
    <s v="Orden Solucionada_x000a_MDM-FIBRA-019967936_x000a_Se ingresa al cliente se validan tomas telefónicas y caja de distribución en pasillo, se realiza tendido de fibra óptica desde el punto requerido por el cliente saliendo a la caja de distribución en pasillo y posteriormente bajando por cinco cajas más llegando al primer piso, saliendo a la fachada, pasando por cuatro postes hasta llegar a la nap asignada. Se gastan 130 MTS F.O f8// 7 Herrajes de retención. No se generan daños ni pérdidas durante la instalacion. Tecnico fredy corredor"/>
    <s v="130 f8"/>
    <s v="N/A"/>
    <n v="7"/>
    <d v="2026-07-31T00:00:00"/>
    <x v="2"/>
    <x v="4"/>
    <s v="CARRO"/>
  </r>
  <r>
    <s v="JULIO"/>
    <s v="MDM-FIBRA-019966250"/>
    <x v="0"/>
    <x v="0"/>
    <s v="CC-80903229"/>
    <s v="OSCAR EDUARDO RAYO SANCHEZ"/>
    <s v="KR 31B 5C 10 LC 2"/>
    <s v="ZTE-BFTEL"/>
    <s v="drop a nap desde local piso 1 a sótano, sonda tranca, sin cables, posible ducto desempatado, sin operador"/>
    <s v="CUNI"/>
    <s v="APLAZAMIENTO"/>
    <n v="1502"/>
    <s v="*Aplazamiento*_x000a_MDM-FIBRA-019966250_x000a_Cliente india que solo puede atender hoy en pm,, se regresara en esa franja"/>
    <s v="N/A"/>
    <s v="N/A"/>
    <s v="N/A"/>
    <d v="2026-07-31T00:00:00"/>
    <x v="2"/>
    <x v="3"/>
    <s v="CARRO"/>
  </r>
  <r>
    <s v="AGOSTO"/>
    <s v="MDM-FIBRA-019945681"/>
    <x v="0"/>
    <x v="0"/>
    <s v="CC-79570305"/>
    <s v="HECTOR ALEXANDER GUZMAN MENDOZA"/>
    <s v="CL 48 SUR 87 86 TO 18 AP 169"/>
    <s v="ZTE-CONECTAR"/>
    <s v="Se evidencia que la ductería esta obstruida, no pasa sonda"/>
    <s v="HOLANDA"/>
    <s v="NO VIABLE"/>
    <n v="1502"/>
    <s v="MDM-FIBRA-019945681_x000a_estado caso_x000a_NO CONTACTADO_x000a_observaciones_x000a_CD HORA:2026-08-04 15:09:58 TK:174246 ORDEN:MDM-FIBRA-019945681 NOTAS U OBSERVACIONES CLARAS: Cliente HECTOR ALEXANDER GUZMAN MENDOZA numero de contacto 3114924667 no contactado BACK:DANNA CORREA NOTAS TECNICO:cuadrilla en predio, se marca a contactos sin respuesta, seguridad indica que no responde"/>
    <s v="N/A"/>
    <s v="N/A"/>
    <s v="N/A"/>
    <d v="2026-08-03T00:00:00"/>
    <x v="2"/>
    <x v="4"/>
    <s v="CARRO"/>
  </r>
  <r>
    <s v="AGOSTO"/>
    <s v="MDM-FIBRA-020023874"/>
    <x v="1"/>
    <x v="1"/>
    <s v="CC-24325217"/>
    <s v="MONICA LOPEZ FRANCO"/>
    <s v="CL 105 15 21 AP 205"/>
    <s v="ZTE-NETWORKING"/>
    <s v="Por favor escalar 1502 se valida ruta de acceso a predio presenta obstrucción"/>
    <s v="CHICO"/>
    <s v="SOLUCIONADA"/>
    <n v="1502"/>
    <s v="Orden Solucionada_x000a_MDM-FIBRA-020023874_x000a_Se instalan 33 MTRS de drop de baja fricción desde la caja de paso por ducto de telefonía enviamos el drop a una caja de paso en sótano,  luego por ducto de teléfono hasta caja de paso para llegar a la toma de la habitación principal , por el otro  ducto enviamos hasta la otra toma en habitación, salimos de la toma pasando el muro para salir al hall donde usuaria solicita el servicio. No se generan daños ni pérdidas durante la instalacion. Tecnico edwin diaz"/>
    <n v="33"/>
    <s v="N/A"/>
    <s v="N/A"/>
    <d v="2026-08-04T00:00:00"/>
    <x v="2"/>
    <x v="2"/>
    <s v="MOTO"/>
  </r>
  <r>
    <s v="AGOSTO"/>
    <s v="MDM-FIBRA-020014003"/>
    <x v="0"/>
    <x v="0"/>
    <s v="CC-1010230956"/>
    <s v="JOSE DAVID RODRIGUEZ RAMIREZ"/>
    <s v="TV 52C 2A 76"/>
    <s v="ZTE-BFTEL"/>
    <s v="se realiza sondeo desde la canalizacion, encontrandose obstruccion"/>
    <s v="CUNI"/>
    <s v="SOLUCIONADA"/>
    <n v="1502"/>
    <s v="*Orden Solucionada*_x000a_MDM-FIBRA-020014003_x000a_Se llega a predio, se habla con el usuario, se realiza validación y se busca la ruta desde la nap asignada hasta el predio. se extiende fibra desde la nap hasta el  punto requerido por el cliente. Se gastan 30 mts de indoor// Herraje 1. No se generan daños ni pérdidas durante la instalacion. Tecnico jesus silva"/>
    <s v="N/A"/>
    <n v="30"/>
    <n v="2"/>
    <d v="2026-08-04T00:00:00"/>
    <x v="2"/>
    <x v="3"/>
    <s v="CARRO"/>
  </r>
  <r>
    <s v="JULIO"/>
    <s v="MDM-FIBRA-019966250"/>
    <x v="0"/>
    <x v="0"/>
    <s v="CC-80903229"/>
    <s v="OSCAR EDUARDO RAYO SANCHEZ"/>
    <s v="KR 31B 5C 10 LC 2"/>
    <s v="ZTE-BFTEL"/>
    <s v="drop a nap desde local piso 1 a sótano, sonda tranca, sin cables, posible ducto desempatado, sin operador"/>
    <s v="CUNI"/>
    <s v="SOLUCIONADA"/>
    <n v="1502"/>
    <s v="*Orden Solucionada*_x000a_MDM-FIBRA-019966250_x000a_Se llega a predio, se habla con el usuario, se realiza validación y se busca la ruta desde la nap asignada hasta el predio. Se tiende fibra desde la nap hasta el  punto requerido.  técnico debe traer pdp para instalación. ya que hay cable riser en caja del techo.se gastan 40 mts de drop de baja fricción. No se generan daños ni pérdidas durante la instalacion. Tecnico Jesus silva"/>
    <n v="40"/>
    <s v="N/A"/>
    <s v="N/A"/>
    <d v="2026-07-31T00:00:00"/>
    <x v="2"/>
    <x v="3"/>
    <s v="CARRO"/>
  </r>
  <r>
    <s v="AGOSTO"/>
    <s v="MDM-FIBRA-020024287"/>
    <x v="2"/>
    <x v="2"/>
    <s v="CC-79321717"/>
    <s v="PEDRO NEL CORREDOR BENITEZ"/>
    <s v="CL 53 36A 76 AP 302"/>
    <s v="ZTE-COLVATEL"/>
    <s v="realiza validación, se escala orden por 1502 INFORMATIVO, orden no es posible realizar ya que se debe pasar fibra por el tejado del edificio, pero por parte de SST no se autoriza trabajos en esos tipos de tejado ya que genera riesgo para el técnico."/>
    <s v="CUNI"/>
    <s v="NO VIABLE"/>
    <n v="1502"/>
    <s v="No viable//realiza validación, se escala orden por 1502 INFORMATIVO, orden no es posible realizar ya que se debe pasar fibra por el tejado del edificio, pero por parte de SST no se autoriza trabajos en esos tipos de tejado ya que genera riesgo para el técnico."/>
    <s v="N/A"/>
    <s v="N/A"/>
    <s v="N/A"/>
    <d v="2026-08-04T00:00:00"/>
    <x v="2"/>
    <x v="5"/>
    <s v="N/A"/>
  </r>
  <r>
    <s v="AGOSTO"/>
    <s v="MDM-FIBRA-020015032"/>
    <x v="2"/>
    <x v="2"/>
    <s v="CC-79755530"/>
    <s v="ALBERTO ALCARCEL ARIAS"/>
    <s v="KR 1B 41 42 SUR LC"/>
    <s v="ZTE-BFTEL"/>
    <s v="nap a 4 cuadras de distancia, excede la distancia permitida, 270 MTS aproximadamente"/>
    <s v="SANTA INES"/>
    <s v="NO VIABLE"/>
    <n v="1502"/>
    <s v="No viable//nap a 4 cuadras de distancia, excede la distancia permitida, 270 MTS aproximadamente"/>
    <s v="N/A"/>
    <s v="N/A"/>
    <s v="N/A"/>
    <d v="2026-08-04T00:00:00"/>
    <x v="2"/>
    <x v="5"/>
    <s v="N/A"/>
  </r>
  <r>
    <s v="AGOSTO"/>
    <s v="MDM-FIBRA-020013506"/>
    <x v="2"/>
    <x v="2"/>
    <s v="CC-13379302"/>
    <s v="PABLO JOSE DIAZ MORA"/>
    <s v="CL 57B 37 31 AP 202"/>
    <s v="ZTE-COLVATEL"/>
    <s v="realiza validación, se escala orden por 1502 INFORMATIVO, orden no es posible realizar ya que se debe pasar fibra por el tejado del edificio, pero por parte de SST no se autoriza trabajos en esos tipos de tejado ya que genera riesgo para el técnico."/>
    <s v="CUNI"/>
    <s v="NO VIABLE"/>
    <n v="1502"/>
    <s v="No viable//realiza validación, se escala orden por 1502 INFORMATIVO, orden no es posible realizar ya que se debe pasar fibra por el tejado del edificio, pero por parte de SST no se autoriza trabajos en esos tipos de tejado ya que genera riesgo para el técnico."/>
    <s v="N/A"/>
    <s v="N/A"/>
    <s v="N/A"/>
    <d v="2026-08-04T00:00:00"/>
    <x v="2"/>
    <x v="5"/>
    <s v="N/A"/>
  </r>
  <r>
    <s v="JULIO"/>
    <s v="MDM-FIBRA-019927774"/>
    <x v="0"/>
    <x v="0"/>
    <s v="CC-28838371"/>
    <s v="MARIA LUZ STHER RESTREPO SANCHEZ"/>
    <s v="CL 7 90 76 CA 67"/>
    <s v="ZTE-CONECTAR"/>
    <s v="Ducteriba obstruida no pasa sonda se requiere apoyo de cuadrilla"/>
    <s v="FONTIBON"/>
    <s v="SOLUCIONADA"/>
    <n v="1502"/>
    <s v="Orden Solucionada_x000a_Hilado_x000a_MDM-FIBRA-019927774_x000a_Se ingresa al cliente y se validan tomas telefónicas y caja de distribución en fachada, se realiza sondeo de ductos con dificultad para pasar la sonda por saturación de cables se logra pasar la sonda. Se realiza hilado desde el punto requerido por el cliente saliendo a la caja de distribución en fachada y posteriormente llegando a la caja de distribución en anden donde se encuentra la nap asignada. Técnico instalador debe traer F.O pre-conectarizada de 50 mts. No se generan daños ni pérdidas durante la instalacion. Tecnico Fredy hoyos"/>
    <s v="N/A"/>
    <s v="N/A"/>
    <s v="N/A"/>
    <d v="2026-07-29T00:00:00"/>
    <x v="3"/>
    <x v="4"/>
    <s v="CARRO"/>
  </r>
  <r>
    <s v="AGOSTO"/>
    <s v="MDM-FIBRA-020004733"/>
    <x v="1"/>
    <x v="1"/>
    <s v="CC-79460065"/>
    <s v="NELSON PASTRANA OCHOA"/>
    <s v="CL 79B 111A 71 IN 1 AP 201"/>
    <s v="ZTE-COLVATEL"/>
    <s v=" obstrucción entre tubería de paso a apartamento sonda avanza aproximadamente 5 m y tranca"/>
    <s v="BACHUE"/>
    <s v="CANCELADA"/>
    <n v="1502"/>
    <s v="*Orden Cancelada*_x000a_MDM-FIBRA-020004733_x000a_estado caso_x000a_CLIENTE DESISTE_x000a_observaciones_x000a_CD HORA:8:18 TK:174307 ORDEN:MDM-FIBRA-020004733 NOTAS CD : 3143396985 -3138905497 NELSON PASTRANA OCHOA cliente indica que canceló servicio BACK:YESSICA DIAZ NOTAS TECNICO: cuadrilla en predio, cliente indica que decidió cancelar el servicio"/>
    <s v="N/A"/>
    <s v="N/A"/>
    <s v="N/A"/>
    <d v="2026-08-03T00:00:00"/>
    <x v="3"/>
    <x v="2"/>
    <s v="MOTO"/>
  </r>
  <r>
    <s v="AGOSTO"/>
    <s v="MDM-FIBRA-020029955"/>
    <x v="0"/>
    <x v="0"/>
    <s v="CC-41776131"/>
    <s v="MARTHA LUCIA BOHORQUEZ ESCOBAR"/>
    <s v="KR 87D 48 03 SUR CA 200"/>
    <s v="ZTE-COLVATEL"/>
    <s v=" obstrucción entre caja de paso a predio sonda avanza aproximadamente 7 m y tranca"/>
    <s v="HOLANDA"/>
    <s v="NO VIABLE"/>
    <n v="1502"/>
    <s v="Orden No viable_x000a_MDM-FIBRA-020029955_x000a_Se realiza validación desde caja telefónica, cliente no cuenta con caja telefonica, en validacion desde la fachada donde la caja de paso se encuentra en la caja del gas natural, sonda ingresa aproximadamente 7mts y no avanza más, en el interior del ducto se evidencia una fibra, se trata de jalar pero no cede, en la caja de paso un cable plano de cobre pero no cede y se devuelve así mismo, se aplica jabón y agua caliente pero no se obtiene ningún resultado. No se generan daños ni pérdidas durante la validacion. autoriza supervisor Yeison martinez."/>
    <s v="N/A"/>
    <s v="N/A"/>
    <s v="N/A"/>
    <d v="2026-08-03T00:00:00"/>
    <x v="3"/>
    <x v="0"/>
    <s v="CARRO"/>
  </r>
  <r>
    <s v="AGOSTO"/>
    <s v="MDM-FIBRA-019937093"/>
    <x v="0"/>
    <x v="0"/>
    <s v="CC-1032490446"/>
    <s v="BRAYAN ESNEIDER CARVAJAL MORALES"/>
    <s v="DG 167 12 69 IN 41"/>
    <s v="ZTE-NETWORKING"/>
    <s v="tendido de fibra se valida ruta va de cajas de paso de casa en casa para llegar a la nap asignada pero sonda no pasa ingresa 2 metros y se tranca es único ingreso"/>
    <s v="TOBERIN"/>
    <s v="SOLUCIONADA"/>
    <n v="1502"/>
    <s v="*Orden Solucionada*_x000a_MDM-FIBRA-019937093_x000a_Se llega a predio, se habla con el usuario el cual autoriza realizar validación, se evidencia ducteria obstruida, se aplica jabón líquido y agua caliente dentro del predio y en cajas de paso peatonal. Se tiende fibra desde la NAP, pasando por 4 cajas de paso peatonal (Canalizado) y 3 cajas murales. Ingresa a predio por toma principal de la sala y se deja en punto requerido por el cliente. Se gastan 80 mts de Baja Fricción. No se generan daños ni pérdidas durante la instalacion. Tecnico cesar hernandez"/>
    <n v="80"/>
    <s v="N/A"/>
    <s v="N/A"/>
    <d v="2026-08-04T00:00:00"/>
    <x v="3"/>
    <x v="1"/>
    <s v="CARRO"/>
  </r>
  <r>
    <s v="AGOSTO"/>
    <s v="MDM-FIBRA-020003602"/>
    <x v="0"/>
    <x v="0"/>
    <s v="CC-1012398256"/>
    <s v="SINDY JOHANA DE LA ROSA GUZMAN"/>
    <s v="CL 81 SUR 81 90 TO 4 AP 202"/>
    <s v="ZTE-CONECTAR"/>
    <s v="Técnico valida en predio, sonda no pasa, se requiere cuadrilla de quiebre "/>
    <s v="HOLANDA"/>
    <s v="SOLUCIONADA"/>
    <n v="1502"/>
    <s v="Orden Solucionada_x000a_MDM-FIBRA-020003602_x000a_se realiza validacion y sondeo desde caja telefonica, se evidencia caja tv con servicios de claro activos, se envía sonda por caja tv donde ingresa 5mts y no avanza más se aplica jabón líquido para el proceso. se envía por el ducto de la telefonia hasta lograr llegar a caja de paso en pasillo donde se encontró la furukawa. En predio se deja donde es requerido. Se gastan 25Mts Baja Friccion. No se generan daños ni pérdidas durante la instalacion. Tecnico luis hoyos"/>
    <n v="25"/>
    <s v="N/A"/>
    <s v="N/A"/>
    <d v="2026-08-04T00:00:00"/>
    <x v="3"/>
    <x v="0"/>
    <s v="CARRO"/>
  </r>
  <r>
    <s v="AGOSTO"/>
    <s v="MDM-FIBRA-020016834"/>
    <x v="0"/>
    <x v="0"/>
    <s v="CC-52900904"/>
    <s v="EDITH ANDREA QUECANO SALGADO"/>
    <s v="KR 81B 19B 50 BQ 13 AP 302"/>
    <s v="ZTE-COLVATEL"/>
    <s v="OBSTRUCCIÓN ENTRE CAJAS DE COMUNICACIÓN INTERNAS DEL PREDIO DONDE SE ESTÁ REALIZANDO LA INSTALACIÓN HAY CABLES DE GUÍA CLIENTE PIDE NO MOVER CABLES YA QUE SON DE OTRO OPERADOR "/>
    <s v="FONTIBON"/>
    <s v="SOLUCIONADA"/>
    <n v="1502"/>
    <s v="Orden Solucionada_x000a_Hilado_x000a_MDM-FIBRA-020016834_x000a_Se ingresa al cliente, se validan tomas telefónicas en el apartamento. En validación el cliente nos pide retirar cables que no se encuentran en servicio y se liberan ductos; se deja hilado para pasar cableado y dar servicio a los equipos por instalar. No se generan daños ni pérdidas durante la instalacion. Tecnico Fredy corredor"/>
    <s v="N/A"/>
    <s v="N/A"/>
    <s v="N/A"/>
    <d v="2026-08-01T00:00:00"/>
    <x v="3"/>
    <x v="4"/>
    <s v="CARRO"/>
  </r>
  <r>
    <s v="AGOSTO"/>
    <s v="MDM-FIBRA-020010585"/>
    <x v="1"/>
    <x v="1"/>
    <s v="CC-1027524151"/>
    <s v="BRIYIT TATIANA SILVA SILVA"/>
    <s v="CL 71B 100A 27 IN 2 AP 505"/>
    <s v="ZTE-COLVATEL"/>
    <s v="realiza validación, encuentra obstrucción cajas de paso, toca cablear de pto hasta pdp"/>
    <s v="BACHUE"/>
    <s v="NO VIABLE"/>
    <n v="1502"/>
    <s v="Orden No viable_x000a_MDM-FIBRA-020010585_x000a_Realizamos validación para tender la fibra,  se evidenció que la toma principal hacia la caja esta ubicada en piso 4 enviamos la sonda e ingresan 10 MTRS y queda trancada al devolverla sale mojada y de abajo hacia arriba, no sale a la toma y al tratar de devolverla se queda atorada en el tubo, se evidencia tubo desempatado. Citofono esta compartido con vecino al enviar la sonda está alcanza a ingresar pero se van 10 MTRS y no sale a la caja de paso. Administración no autoriza cableado por fuera y por TV no hay comunicación a las cajas de ETB. No se generan daños ni pérdidas durante la validacion. autoriza supervisor Yeison martinez."/>
    <s v="N/A"/>
    <s v="N/A"/>
    <s v="N/A"/>
    <d v="2026-08-04T00:00:00"/>
    <x v="3"/>
    <x v="2"/>
    <s v="MOTO"/>
  </r>
  <r>
    <s v="AGOSTO"/>
    <s v="MDM-FIBRA-020003664"/>
    <x v="0"/>
    <x v="0"/>
    <s v="CC-52740506"/>
    <s v="ERIKA JOHANNA LEIVA JIMENEZ"/>
    <s v="KR 3 56A 87 AP 203"/>
    <s v="ZTE-NETWORKING"/>
    <s v="tendido de fibra se valida ruta la ducteria esta obstruida sonda ingresa de 3 a 4 mts"/>
    <s v="CHICO"/>
    <s v="SOLUCIONADA"/>
    <n v="1502"/>
    <s v="Orden Solucionada_x000a_MDM-FIBRA-020003664_x000a_Se llega a predio, se habla con el usuario, se realiza validación y se busca la ruta desde la nap asignada hasta el predio. Se valida CT en el predio. Desde la nap N1 sale un cable flash de 12 hilos que alimenta esa CT. Se gastan 40 mts de drop de baja. No se generan daños ni pérdidas durante la instalacion. Tecnico jesus silva"/>
    <n v="40"/>
    <s v="N/A"/>
    <s v="N/A"/>
    <d v="2026-08-04T00:00:00"/>
    <x v="3"/>
    <x v="3"/>
    <s v="CARRO"/>
  </r>
  <r>
    <s v="AGOSTO"/>
    <s v="MDM-FIBRA-020003774"/>
    <x v="0"/>
    <x v="0"/>
    <s v="CC-1013607695"/>
    <s v="YURI ALEJANDRA MORALES VELASQUEZ"/>
    <s v="KR 22 58 26 SUR CA 86"/>
    <s v="ZTE-FODEN"/>
    <s v="se llega al predio se realiza la instalcion pero la ducteria esta obstruida en la caja de paso hacia  el predio del cliente"/>
    <s v="MUZU"/>
    <s v="APLAZAMIENTO"/>
    <n v="1502"/>
    <s v="*Aplazamiento*_x000a_MDM-FIBRA-020003774_x000a_estado caso_x000a_AGENDADO OK CUADRILLA_x000a_observaciones_x000a_CD HORA:16:24 TK:174443 ORDEN:MDM-FIBRA-020003774 NOTAS CD : 3014524182 YURI ALEJANDRA MORALES VELASQUEZ cliente recibe mañana am BACK:YESSICA DIAZ NOTAS TECNICO: No se finaliza validación, cliente indica que debe salir, solicita reprogramar para el dia 06-08"/>
    <s v="N/A"/>
    <s v="N/A"/>
    <s v="N/A"/>
    <d v="2026-08-04T00:00:00"/>
    <x v="3"/>
    <x v="0"/>
    <s v="CARRO"/>
  </r>
  <r>
    <s v="AGOSTO"/>
    <s v="MDM-FIBRA-020016351"/>
    <x v="0"/>
    <x v="0"/>
    <s v="CC-1007530052"/>
    <s v="MARIA PIÑEROS SANZ DE SANTAMARIA"/>
    <s v="KR 7C BIS 141A 27 IN 72"/>
    <s v="ZTE-NETWORKING"/>
    <s v="tendido de fibra se valida ruta la ducteria esta obstruida  sonda no pasa mas de 3 metros de lado y lado"/>
    <s v="TOBERIN"/>
    <s v="SOLUCIONADA"/>
    <n v="1502"/>
    <s v="Orden Solucionada_x000a_MDM-FIBRA-020016351_x000a_Se llega a predio, se habla con el usuario el cual autoriza realizar validación. Se evidencia ducteria obstruida, se aplica jabón líquido y agua caliente dentro del predio y en cajas de paso mural. se tiende fibra desde la nap, pasando por 3 cajas de paso peatonal (canalizado) y 4 cajas murales. se ingresa a predio por toma principal de la sala en piso 1, se envía por ducteria interna a salir a pasillo en piso 2 y se deja en punto requerido por el cliente. se gastan 100 mts de baja fricción. No se generan daños ni pérdidas durante la instalacion. Tecnico Cesar hernandez"/>
    <n v="100"/>
    <s v="N/A"/>
    <s v="N/A"/>
    <d v="2026-08-04T00:00:00"/>
    <x v="3"/>
    <x v="1"/>
    <s v="CARRO"/>
  </r>
  <r>
    <s v="AGOSTO"/>
    <s v="MDM-FIBRA-020010252"/>
    <x v="0"/>
    <x v="0"/>
    <s v="CC-51654380"/>
    <s v="AURA CECILIA RUIZ BENITEZ"/>
    <s v="CL 7 92A 56 CA 288"/>
    <s v="ZTE-COLVATEL"/>
    <s v="realiza validación obstrucción de cdp a toma "/>
    <s v="FONTIBON"/>
    <s v="NO VIABLE"/>
    <n v="1502"/>
    <s v="MDM-FIBRA-020010252_x000a_observaciones_x000a_CD HORA:11:17 TK:174361 ORDEN:MDM-FIBRA-020010252 NOTAS CD : 3115196521 no contestan BACK:YESSICA DIAZ NOTAS TECNICO: cuadrilla en predio, cliente no responde a contacto, seguridad no da información"/>
    <s v="N/A"/>
    <s v="N/A"/>
    <s v="N/A"/>
    <d v="2026-08-04T00:00:00"/>
    <x v="3"/>
    <x v="4"/>
    <s v="CARRO"/>
  </r>
  <r>
    <s v="AGOSTO"/>
    <s v="MDM-FIBRA-020023978"/>
    <x v="0"/>
    <x v="0"/>
    <s v="CC-91527174"/>
    <s v="ELKIN JEFFERSON PORRAS GALLEGO"/>
    <s v="CL 88 16 18 AP 208"/>
    <s v="ZTE-COLVATEL"/>
    <s v=" Se llega a predio se validan las cajas de paso en predio se evidencia que las tomas telefónicas están obstruidas por cables telefónicos el cual de ve que al momento de la remodelación se obstruyeron"/>
    <s v="CHICO"/>
    <s v="SOLUCIONADA"/>
    <n v="1502"/>
    <s v="*Orden Solucionada*_x000a_MDM-FIBRA-020023978_x000a_Se llega a predio, se habla con el usuario, se realiza validación y se busca la ruta desde la nap asignada hasta el predio. pdp se encuentra  frente de la escalera. En predio se deja en sitio indicado. se gastan 30 mts de drop de baja. No se generan daños ni pérdidas durante la instalacion. Tecnico Jesus silva"/>
    <n v="30"/>
    <s v="N/A"/>
    <s v="N/A"/>
    <d v="2026-08-04T00:00:00"/>
    <x v="3"/>
    <x v="3"/>
    <s v="CARRO"/>
  </r>
  <r>
    <s v="AGOSTO"/>
    <s v="MDM-FIBRA-020024486"/>
    <x v="0"/>
    <x v="0"/>
    <s v="CC-1019602476"/>
    <s v="DAVID ALEJANDRO TRIANA GARCIA"/>
    <s v="CL 7 90 81 CA 1"/>
    <s v="ZTE-COLVATEL"/>
    <s v="Dejaron una pita pro eso se totio ingrese la sonda pro se atasca en un parte de trayecto "/>
    <s v="FONTIBON"/>
    <s v="SOLUCIONADA"/>
    <n v="1502"/>
    <s v="Orden Solucionada_x000a_Hilado_x000a_MDM-FIBRA-020024486_x000a_Se llega al cliente donde se válida tramo de hilado cortado se realiza nuevamente hilado desde el punto requerido por el cliente saliendo a la caja de distribución en fachada y posteriormente pasando por 4 cajas más, subiendo nuevamente la caja en fachada y posteriormente pasando por dos cajas más llegando a la cámara de codensa donde se encuentra la nap asignada. Técnico instalador debe traer F.O preconectarizada de 150 MTS. No se generan daños ni pérdidas durante la instalacion. Tecnico fredy corredor"/>
    <s v="N/A"/>
    <s v="N/A"/>
    <s v="N/A"/>
    <d v="2026-08-04T00:00:00"/>
    <x v="3"/>
    <x v="4"/>
    <s v="CARRO"/>
  </r>
  <r>
    <s v="AGOSTO"/>
    <s v="MDM-FIBRA-020005945"/>
    <x v="1"/>
    <x v="1"/>
    <s v="CC-52513945"/>
    <s v="DEYANIRA SINDY MOYA CHAVES"/>
    <s v="CL 56A 58 54 BQ 75 AP 201"/>
    <s v="ZTE-BFTEL"/>
    <s v="se realiza validacion encontrando obstruccion en predio"/>
    <s v="CUNI"/>
    <s v="SOLUCIONADA"/>
    <n v="1502"/>
    <s v="*Orden Solucionada*_x000a_MDM-FIBRA-020005945_x000a_Se instalan 37 mtrs de drop de baja fricción desde la nap asignada en cámara, enviamos el drop por ducto principal hasta una canaleta existente por fachada, luego ingresamos al predio por perforacion existente llevando hasta la toma del estudio donde usuario solicita el servicio. No se generan daños ni pérdidas durante la instalacion. Tecnico edwin diaz"/>
    <n v="37"/>
    <s v="N/A"/>
    <s v="N/A"/>
    <d v="2026-08-05T00:00:00"/>
    <x v="3"/>
    <x v="2"/>
    <s v="MOTO"/>
  </r>
  <r>
    <s v="AGOSTO"/>
    <s v="MDM-FIBRA-020027318"/>
    <x v="2"/>
    <x v="2"/>
    <s v="CC-31422608"/>
    <s v="MARIA TERESA GALEANO MONSALVE"/>
    <s v="KR 88 6 32 IN 33 AP 502"/>
    <s v="ZTE-COLVATEL"/>
    <s v="Realiza validación nap asignada no tiene comunicación con la la torre 33 Esta alimenta la torre 30"/>
    <s v="FONTIBON"/>
    <s v="NO VIABLE"/>
    <n v="1502"/>
    <s v="No viable//Realiza validación nap asignada no tiene comunicación con la la torre 33 Esta alimenta la torre 30"/>
    <s v="N/A"/>
    <s v="N/A"/>
    <s v="N/A"/>
    <d v="2026-08-05T00:00:00"/>
    <x v="3"/>
    <x v="5"/>
    <s v="N/A"/>
  </r>
  <r>
    <s v="AGOSTO"/>
    <s v="MDM-FIBRA-019970270"/>
    <x v="2"/>
    <x v="2"/>
    <s v="CC-1029144286"/>
    <s v="VALERY LIZETH BAQUERO ZAMBRANO"/>
    <s v="KR 10A ESTE 24 16 SUR"/>
    <s v="ZTE-BFTEL"/>
    <s v="No viable//no se puede ejecutar ya que en dónde se encuentra la nap y para el predio donde es la instalación la via se encuentra en obras donde hay maquinaria y no hay como colocar escalera para poder trabajar"/>
    <s v="SANTA INES"/>
    <s v="NO VIABLE"/>
    <n v="1502"/>
    <s v="No viable//no se puede ejecutar ya que en dónde se encuentra la nap y para el predio donde es la instalación la via se encuentra en obras donde hay maquinaria y no hay como colocar escalera para poder trabajar"/>
    <s v="N/A"/>
    <s v="N/A"/>
    <s v="N/A"/>
    <d v="2026-08-05T00:00:00"/>
    <x v="3"/>
    <x v="5"/>
    <s v="N/A"/>
  </r>
  <r>
    <s v="AGOSTO"/>
    <s v="MDM-FIBRA-020011793"/>
    <x v="2"/>
    <x v="2"/>
    <s v="CC-1023959677"/>
    <s v="YECYCA YICELA MENDEZ MARTINEZ"/>
    <s v="CL 41 BIS SUR 6B 40 ESTE"/>
    <s v="ZTE-BFTEL"/>
    <s v="en la viabilidad que se evidenció y desde la nap asignada, se debe realizar un tendido de manera área dándole la vuelta a la manzana pero excede la distancia máxima permitida por la interventoria de ETB, para este caso tiene una longitud aproximadamente de 300 mts, hay más nap's la N1SI13_C25 y la N1SI13_C24 pero se encuentran al 100% de su ocupación"/>
    <s v="SANTA INES"/>
    <s v="NO VIABLE"/>
    <n v="1502"/>
    <s v="No viable//en la viabilidad que se evidenció y desde la nap asignada, se debe realizar un tendido de manera área dándole la vuelta a la manzana pero excede la distancia máxima permitida por la interventoria de ETB, para este caso tiene una longitud aproximadamente de 300 mts, hay más nap's la N1SI13_C25 y la N1SI13_C24 pero se encuentran al 100% de su ocupación"/>
    <s v="N/A"/>
    <s v="N/A"/>
    <s v="N/A"/>
    <d v="2026-08-05T00:00:00"/>
    <x v="3"/>
    <x v="5"/>
    <s v="N/A"/>
  </r>
  <r>
    <s v="JULIO"/>
    <s v="MDM-FIBRA-019927774"/>
    <x v="0"/>
    <x v="0"/>
    <s v="CC-28838371"/>
    <s v="MARIA LUZ STHER RESTREPO SANCHEZ"/>
    <s v="CL 7 90 76 CA 67"/>
    <s v="ZTE-CONECTAR"/>
    <s v="Ducteriba obstruida no pasa sonda se requiere apoyo de cuadrilla"/>
    <s v="FONTIBON"/>
    <s v="SOLUCIONADA"/>
    <n v="1502"/>
    <s v="Orden Solucionada_x000a_Hilado_x000a_MDM-FIBRA-019927774_x000a_Se ingresa al cliente y se validan tomas telefónicas y caja de distribución en fachada, se realiza sondeo de ductos con dificultad para pasar la sonda por saturación de cables se logra pasar la sonda. Se realiza hilado desde el punto requerido por el cliente saliendo a la caja de distribución en fachada y posteriormente llegando a la caja de distribución en anden donde se encuentra la nap asignada. Técnico instalador debe traer F.O pre-conectarizada de 50 mts. No se generan daños ni pérdidas durante la instalacion. Tecnico Fredy hoyos"/>
    <s v="N/A"/>
    <s v="N/A"/>
    <s v="N/A"/>
    <d v="2026-07-29T00:00:00"/>
    <x v="3"/>
    <x v="4"/>
    <s v="CARRO"/>
  </r>
  <r>
    <s v="JULIO"/>
    <s v="MDM-FIBRA-019990209"/>
    <x v="0"/>
    <x v="0"/>
    <s v="CC-52093985"/>
    <s v="MARIA GLORIA MENDOZA PEÑA"/>
    <s v="KR 102 72 47 SUR CA 206"/>
    <s v="ZTE-COLVATEL"/>
    <s v="onstruccion entre caja de paso de nap a predio sonda avanza aproximadamente 6 metros y tranca"/>
    <s v="HOLANDA"/>
    <s v="NO VIABLE"/>
    <n v="1502"/>
    <s v="Orden No viable_x000d__x000a_MDM-FIBRA-019990209_x000d__x000a_Se realiza validacion y sondeo desde caja telefonica, se evidencia cable de cobre, no cede se intenta jalar varias veces. sonda  se escucha golpear en la caja donde se encuentra el servicio del gas, al parecer había una caja de paso y fue tapada, ya que se escucha golpear en la pared, se intenta subir a fachada pero no se evidencia caja de paso ya que estan tapados. No se generan daños ni pérdidas durante la validacion. autoriza supervisor Yeison martinez."/>
    <s v="N/A"/>
    <s v="N/A"/>
    <s v="N/A"/>
    <d v="2026-07-31T00:00:00"/>
    <x v="4"/>
    <x v="0"/>
    <s v="CARRO"/>
  </r>
  <r>
    <s v="AGOSTO"/>
    <s v="MDM-FIBRA-020003228"/>
    <x v="0"/>
    <x v="0"/>
    <s v="CC-1019028544"/>
    <s v="JUAN SEBASTIAN RINCON HERNANDEZ"/>
    <s v="CL 83A 114 99 IN 65"/>
    <s v="ZTE-COLVATEL"/>
    <s v=" obstruccion entre cajas de paso de predio a caja de paso, sonda avanza aproximadamente 7 metros y tranca, tubería llena de barro "/>
    <s v="BACHUE"/>
    <s v="NO VIABLE"/>
    <n v="1502"/>
    <s v="MDM-FIBRA-020003228_x000d__x000a_estado caso_x000d__x000a_NO CONTACTADO_x000d__x000a_observaciones_x000d__x000a_CD HORA:8:45 TK:174477 ORDEN:MDM-FIBRA-020003228 NOTAS CD : 3132108300 -3146637300 no contestan BACK:YESSICA DIAZ NOTAS TECNICO: cuadrilla en predio, cliente indica que decidió cancelar el servicio"/>
    <s v="N/A"/>
    <s v="N/A"/>
    <s v="N/A"/>
    <d v="2026-08-03T00:00:00"/>
    <x v="4"/>
    <x v="1"/>
    <s v="CARRO"/>
  </r>
  <r>
    <s v="AGOSTO"/>
    <s v="MDM-FIBRA-020005918"/>
    <x v="0"/>
    <x v="0"/>
    <s v="CC-1151963908"/>
    <s v="CAROLINA OROZCO GARCIA"/>
    <s v="CL 63B 30 24"/>
    <s v="ZTE-NETWORKING"/>
    <s v="Se evidencia ducteria obstruida la sonda avanza 12 / 15 metros y se tranca"/>
    <s v="CHICO"/>
    <s v="CANCELADA"/>
    <n v="1502"/>
    <s v="Orden Cancelada_x000d__x000a_MDM-FIBRA-020005918_x000d__x000a_estado caso_x000d__x000a_CLIENTE DESISTE_x000d__x000a_observaciones_x000d__x000a_CD HORA:9:31 TK:174475 ORDEN:MDM-FIBRA-020005918 NOTAS CD : 3113807101 CAROLINA OROZCO GARCIA cliente indica que canceló servicio el servicio BACK:YESSICA DIAZ NOTAS TECNICO: cuadrilla en predio, cliente indica que decidió cancelar el servicio"/>
    <s v="N/A"/>
    <s v="N/A"/>
    <s v="N/A"/>
    <d v="2026-08-04T00:00:00"/>
    <x v="4"/>
    <x v="4"/>
    <s v="CARRO"/>
  </r>
  <r>
    <s v="AGOSTO"/>
    <s v="MDM-FIBRA-020030456"/>
    <x v="1"/>
    <x v="1"/>
    <s v="CC-1053788596"/>
    <s v="VANESSA MUÑOZ FRANCO"/>
    <s v="CL 100 67 25 IN 4 AP 402"/>
    <s v="ZTE-NETWORKING"/>
    <s v="Se hace verificación con  sonda por tuberia de edificio ,no pasa la sonda tubería está obstruida"/>
    <s v="CHICO"/>
    <s v="SOLUCIONADA"/>
    <n v="1502"/>
    <s v="Orden Solucionada_x000d__x000a_MDM-FIBRA-020030456_x000d__x000a_Se instalan 31 MTRS de drop de baja fricción, desde la toma de la sala enviamos el drop perfilado por el guardescobas hasta el marco de la puerta, se continua por perforacion existente saliendo ala puerta sigue por una canaleta existente dando la vuelta hasta donde se encuentra el reiser de ETB donde dejamos la reserva .se válida toma de teléfono y esta tiene comunicación entre tomas hasta el sótano, pero se evidenció ruta por donde ingresan TV y había comunicación. No se generan daños ni pérdidas durante la instalacion. Tecnico edwin diaz"/>
    <n v="31"/>
    <s v="N/A"/>
    <s v="N/A"/>
    <d v="2026-08-04T00:00:00"/>
    <x v="4"/>
    <x v="2"/>
    <s v="MOTO"/>
  </r>
  <r>
    <s v="AGOSTO"/>
    <s v="MDM-FIBRA-020023150"/>
    <x v="1"/>
    <x v="1"/>
    <s v="CC-1007207873"/>
    <s v="MANUEL FELIPE MURCIA BERNAL"/>
    <s v="CL 100 22 30 AP 1022"/>
    <s v="ZTE-NETWORKING"/>
    <s v="Se llega al predio se envía sonda de la caja paso al predio _x000d__x000a_Ingresa aproximadamente un metro no pasa _x000d__x000a_Más se envía sonda desde la toma apto hacia la caja paso externa ingresa 2 mts no pasa más"/>
    <s v="CHICO"/>
    <s v="SOLUCIONADA"/>
    <n v="1502"/>
    <s v="Orden Solucionada_x000d__x000a_MDM-FIBRA-020023150_x000d__x000a_Se instalan 29 mtrs de drop de baja fricción desde la caja de paso,  por ducto de telefonía enviamos el drop hasta la toma principal en la cocina,  luego pasamos a la toma donde usuario solicita el servicio .el técnico válido el ducto equivocado. No se generan daños ni pérdidas durante la instalacion. Tecnico edwin diaz"/>
    <n v="29"/>
    <s v="N/A"/>
    <s v="N/A"/>
    <d v="2026-08-05T00:00:00"/>
    <x v="4"/>
    <x v="2"/>
    <s v="MOTO"/>
  </r>
  <r>
    <s v="AGOSTO"/>
    <s v="MDM-FIBRA-020018454"/>
    <x v="0"/>
    <x v="0"/>
    <s v="CC-41315239"/>
    <s v="CARMEN CECILIA HIDALGO SUAREZ"/>
    <s v="KR 9 84C 70 AP 802"/>
    <s v="ZTE-NETWORKING"/>
    <s v=" se valida ruta de acceso a predio presenta obstrucción la sonda solo pasa unos dos metros se requiere cuadrilla de quiebre"/>
    <s v="CHICO"/>
    <s v="SOLUCIONADA"/>
    <n v="1502"/>
    <s v="Orden Solucionada_x000d__x000a_MDM-FIBRA-020018454_x000d__x000a_Se llega a predio, se habla con el usuario, se realiza validación y se busca la ruta desde la nap asignada hasta el predio. Se deja fibra en punta en la pdp y de alli hasta donde se va a dejar el punto. Se gastan 50 mts de drop de baja.  No se generan daños ni pérdidas durante la instalacion. Tecnico jesus silva"/>
    <n v="50"/>
    <s v="N/A"/>
    <s v="N/A"/>
    <d v="2026-08-05T00:00:00"/>
    <x v="4"/>
    <x v="3"/>
    <s v="CARRO"/>
  </r>
  <r>
    <s v="AGOSTO"/>
    <s v="MDM-FIBRA-020010154"/>
    <x v="0"/>
    <x v="0"/>
    <s v="CC-1019032626"/>
    <s v="CAROLINA ZABALA GONZALEZ"/>
    <s v="CL 34A SUR 99A 45 CA 95"/>
    <s v="ZTE-CONECTAR"/>
    <s v="Técnico valida en predio, sonda no alcanza por metraje, se requiere quiebre para hilado"/>
    <s v="HOLANDA"/>
    <s v="SOLUCIONADA"/>
    <n v="1502"/>
    <s v="Orden solucionada_x000d__x000a_MDM-FIBRA-020010154_x000d__x000a_Se  realiza validacion y sondeo desde caja telefonica, hacia caja fachada, por ducto  se va directo hasta llegar a la primera caja de paso, se cruza 3 cajas más antes de llegar a la nap asignada. En predio se deja donde es requerido. Se gastan 140mts Baja Friccion. No se generan daños ni perdidas durante la instalación. Tecnico  luis hoyos"/>
    <n v="140"/>
    <s v="N/A"/>
    <s v="N/A"/>
    <d v="2026-08-05T00:00:00"/>
    <x v="4"/>
    <x v="0"/>
    <s v="CARRO"/>
  </r>
  <r>
    <s v="AGOSTO"/>
    <s v="MDM-FIBRA-019986900"/>
    <x v="1"/>
    <x v="1"/>
    <s v="NIT-900461036"/>
    <s v="ELITE AV SERVICES S A S"/>
    <s v="KR 19 118 95 OF 203"/>
    <s v="ZTE-NETWORKING"/>
    <s v="se valida ruta de acceso a predio presenta obstrucción"/>
    <s v="CHICO"/>
    <s v="SOLUCIONADA"/>
    <n v="1502"/>
    <s v="Orden Solucionada_x000d__x000a_MDM-FIBRA-019986900_x000d__x000a_Se instalan 25 mtrs de drop de baja fricción desde la caja de paso por ducto de citofonia enviamos el drop hasta la toma principal, luego bajamos por fuera de la toma hacia la toma de teléfono, de esta pasamos a otra toma de paso y desde alli al estudio donde usuaria solicita el servicio. No se generan daños ni pérdidas durante la instalacion. Tecnico edwin diaz"/>
    <n v="25"/>
    <s v="N/A"/>
    <s v="N/A"/>
    <d v="2026-08-05T00:00:00"/>
    <x v="4"/>
    <x v="2"/>
    <s v="MOTO"/>
  </r>
  <r>
    <s v="AGOSTO"/>
    <s v="MDM-FIBRA-020018582"/>
    <x v="0"/>
    <x v="0"/>
    <s v="CC-52865139"/>
    <s v="DANIELA RODRIGUEZ URIBE"/>
    <s v="CL 72A BIS 1B 10 ESTE AP 108"/>
    <s v="ZTE-NETWORKING"/>
    <s v="se valida ruta de acceso a predio presenta obstrucción"/>
    <s v="CHICO"/>
    <s v="APLAZAMIENTO"/>
    <n v="1502"/>
    <s v="Aplazamiento_x000d__x000a_MDM-FIBRA-020018582_x000d__x000a_estado caso_x000d__x000a_AGENDADO OK CUADRILLA_x000d__x000a_observaciones_x000d__x000a_CD ORDEN:MDM-FIBRA-020018582 HORA:2026-08-06 NOTAS TECNICO:cuadrilla en predio, cliente indica que no puede atender, solicita reprogramar para el dia martes 11-08 en pm NOTAS U OBSERVACIONES CLARAS: DANIELA RODRIGUEZ URIBE 3213650927 contactado solicita reprogramar para el dia martes 11-08 PM BACK MILDRED ZUÑIGA TK:174521"/>
    <s v="N/A"/>
    <s v="N/A"/>
    <s v="N/A"/>
    <d v="2026-08-05T00:00:00"/>
    <x v="4"/>
    <x v="4"/>
    <s v="CARRO"/>
  </r>
  <r>
    <s v="AGOSTO"/>
    <s v="MDM-FIBRA-020031166"/>
    <x v="0"/>
    <x v="0"/>
    <s v="CC-1018411972"/>
    <s v="DAVID FELIPE RODRIGUEZ VILLA"/>
    <s v="TV 60 115 58 TO B OF 506"/>
    <s v="ZTE-NETWORKING"/>
    <s v="se valida ruta de acceso a predio presenta obstrucción"/>
    <s v="CHICO"/>
    <s v="APLAZAMIENTO"/>
    <n v="1502"/>
    <s v="Aplazamiento_x000d__x000a_MDM-FIBRA-020031166_x000d__x000a_estado caso_x000d__x000a_AGENDADO OK CUADRILLA_x000d__x000a_observaciones_x000d__x000a_CD HORA:8:39 TK:174476 ORDEN:MDM-FIBRA-020031166 NOTAS CD : 3168225596 DAVID FELIPE RODRIGUEZ VILLA cliente recibe lunes am BACK:YESSICA DIAZ NOTAS TECNICO: cuadrilla en predio, se marca a contacto, cliente indica que no puede recibir, solicita reprogramar para el dia lunes 10-08"/>
    <s v="N/A"/>
    <s v="N/A"/>
    <s v="N/A"/>
    <d v="2026-08-05T00:00:00"/>
    <x v="4"/>
    <x v="3"/>
    <s v="CARRO"/>
  </r>
  <r>
    <s v="AGOSTO"/>
    <s v="MDM-FIBRA-020029188"/>
    <x v="0"/>
    <x v="0"/>
    <s v="CC-43073112"/>
    <s v="GLADIS HELENA ZAPATA BETANCUR"/>
    <s v="KR 19A 96 17 AP 904"/>
    <s v="ZTE-NETWORKING"/>
    <s v="se valida ruta de acceso a predio presenta obstrucción"/>
    <s v="CHICO"/>
    <s v="SOLUCIONADA"/>
    <n v="1502"/>
    <s v="*Orden Solucionada*_x000d__x000a_MDM-FIBRA-020029188_x000d__x000a_Se llega a predio, se habla con el usuario, se realiza validación y se busca la ruta desde la nap asignada hasta el predio. Se deja fibra en punta en la pdp y de alli hasta donde se va a dejar el punto. NOTA:  cliente solicita que le marquen al numero 3175104583. Se gastan 40 mts de drop de baja. No se generan daños ni pérdidas durante la instalacion. Tecnico Jesus silva"/>
    <n v="40"/>
    <s v="N/A"/>
    <s v="N/A"/>
    <d v="2026-08-05T00:00:00"/>
    <x v="4"/>
    <x v="3"/>
    <s v="CARRO"/>
  </r>
  <r>
    <s v="AGOSTO"/>
    <s v="MDM-FIBRA-020038073"/>
    <x v="0"/>
    <x v="0"/>
    <s v="CC-1022339667"/>
    <s v="CESAR DAVID BERNAL LOZANO"/>
    <s v="KR 16 79 50 AP 401"/>
    <s v="ZTE-NETWORKING"/>
    <s v="se valida ruta de acceso  presenta obstrucción la sonda solo pasa unos dos metros se requiere cuadrilla"/>
    <s v="CHICO"/>
    <s v="SOLUCIONADA"/>
    <n v="1502"/>
    <s v="Orden Solucionada_x000d__x000a_MDM-FIBRA-020038073_x000d__x000a_Se ingresa al cliente, se validan tomas telefónicas y caja de distribución en pasillo; se realiza sondeo de ductos con dificultad para pasar la sonda se logra pasar. Se realiza tendido de fibra óptica desde el punto requerido por el cliente saliendo a la caja de distribución en pasillo donde se encuentra la CP asignada. Se gastan 25 mts de F.O de baja fricción. No se generan daños ni pérdidas durante la instalacion. Tecnico fredy corredor"/>
    <n v="25"/>
    <s v="N/A"/>
    <s v="N/A"/>
    <d v="2026-08-05T00:00:00"/>
    <x v="4"/>
    <x v="4"/>
    <s v="CARRO"/>
  </r>
  <r>
    <s v="AGOSTO"/>
    <s v="MDM-FIBRA-020010330"/>
    <x v="0"/>
    <x v="0"/>
    <s v="CC-1054096061"/>
    <s v="NATALIA GARCIA ALBA"/>
    <s v="KR 84 77A 40 AP 903"/>
    <s v="ZTE-COLVATEL"/>
    <s v=" realiza validación, encuentra obstrucción entre cajas de paso, toca cablear de pto hasta pdp"/>
    <s v="BACHUE"/>
    <s v="SOLUCIONADA"/>
    <n v="1502"/>
    <s v="Orden Solucionada_x000d__x000a_MDM-FIBRA-020010330_x000d__x000a_Se llega a predio, se habla con el usuario el cual autoriza realizar validación. se evidencia ducteria telefonica obstruida, se aplica jabón líquido y agua caliente dentro por último se realiza pesca. se tiende fibra desde la pdp que queda en caja de paso de pasillo, ingresa a predio por toma de tv en alcoba del fondo y se deja en punto requerido por el cliente. se gastan 30 mts de baja fricción. No se generan daños ni pérdidas durante la instalacion. Tecnico cesar hernandez"/>
    <n v="30"/>
    <s v="N/A"/>
    <s v="N/A"/>
    <d v="2026-08-05T00:00:00"/>
    <x v="4"/>
    <x v="1"/>
    <s v="CARRO"/>
  </r>
  <r>
    <s v="AGOSTO"/>
    <s v="MDM-FIBRA-020026099"/>
    <x v="0"/>
    <x v="0"/>
    <s v="CC-79558132"/>
    <s v="GERMAN ALBERTO MORA QUINTERO"/>
    <s v="CL 7 90 76 CA 101"/>
    <s v="ZTE-COLVATEL"/>
    <s v=" la sonda no pasa desde la caja de paso hasta la caja de distribución "/>
    <s v="FONTIBON"/>
    <s v="SOLUCIONADA"/>
    <n v="1502"/>
    <s v="Orden Solucionada_x000d__x000a_Hilado_x000d__x000a_MDM-FIBRA-020026099_x000d__x000a_Se llega a predio, se habla con el usuario el cual autoriza realizar validación, se evidencia ducteria telefonica obstruida. se aplica jabón líquido, agua caliente dentro del predio y en caja de paso mural, por último se realiza pesca. se tiende hilado desde la nap PRECONECTORIZADA, pasando por 2 cajas de paso (Canalizado) y 1 mural. Se ingresa a predio por toma principal de la sala en piso 1 se deja en punto requerido. No se generan daños ni pérdidas durante la instalacion. Tecnico cesar hernandez"/>
    <s v="N/A"/>
    <s v="N/A"/>
    <s v="N/A"/>
    <d v="2026-08-05T00:00:00"/>
    <x v="4"/>
    <x v="1"/>
    <s v="CARRO"/>
  </r>
  <r>
    <s v="AGOSTO"/>
    <s v="MDM-FIBRA-020003774"/>
    <x v="0"/>
    <x v="0"/>
    <s v="CC-1013607695"/>
    <s v="YURI ALEJANDRA MORALES VELASQUEZ"/>
    <s v="KR 22 58 26 SUR CA 86"/>
    <s v="ZTE-FODEN"/>
    <s v="se llega al predio se realiza la instalcion pero la ducteria esta obstruida en la caja de paso hacia  el predio del cliente"/>
    <s v="MUZU"/>
    <s v="SOLUCIONADA"/>
    <n v="1502"/>
    <s v="Orden Solucionada_x000d__x000a_MDM-FIBRA-020003774_x000d__x000a_Se realiza validacion y sondeo desde caja telefonica, sale a caja fachada y despues pasa a caja de paso en piso donde se encuentra la nap asignada.  En predio se deja en sitio indicado. se gastan 25 Mts Baja Friccion. No se generan daños ni pérdidas durante la instalacion. Tecnico Luis hoyos"/>
    <n v="25"/>
    <s v="N/A"/>
    <s v="N/A"/>
    <d v="2026-08-04T00:00:00"/>
    <x v="4"/>
    <x v="0"/>
    <s v="CARRO"/>
  </r>
  <r>
    <s v="AGOSTO"/>
    <s v="MDM-FIBRA-020017782"/>
    <x v="2"/>
    <x v="2"/>
    <s v="NIT-900257192"/>
    <s v="SOLUCIONES CERAMICAS"/>
    <s v="KR 17 36 17"/>
    <s v="ZTE-COLVATEL"/>
    <s v=" Realiza validación  imposibilidad en una de las AP ya que no hay ductería para llevar el cable UTP, ya que no está permitido que el personal se suba a tejados SST "/>
    <s v="CUNI"/>
    <s v="NO VIABLE"/>
    <n v="1502"/>
    <s v="No viable// Realiza validación  imposibilidad en una de las AP ya que no hay ductería para llevar el cable UTP, ya que no está permitido que el personal se suba a tejados SST "/>
    <s v="N/A"/>
    <s v="N/A"/>
    <s v="N/A"/>
    <d v="2026-08-05T00:00:00"/>
    <x v="4"/>
    <x v="5"/>
    <s v="N/A"/>
  </r>
  <r>
    <s v="AGOSTO"/>
    <s v="MDM-FIBRA-019784365"/>
    <x v="2"/>
    <x v="2"/>
    <s v="CC-1023893145"/>
    <s v="MERCY JOHANA DAZA RUIZ"/>
    <s v="KR 12C ESTE 28H 34 SUR"/>
    <s v="ZTE-BFTEL"/>
    <s v="Orden no se puede ejecutar ya que la distancia dela Nap al predio es aproximadamente 320 mtrs estamos autorizados hasta 250 no hay más nap disponibles cerca para realizar algún cambio"/>
    <s v="SANTA INES"/>
    <s v="NO VIABLE"/>
    <n v="1502"/>
    <s v="No viable//Orden no se puede ejecutar ya que la distancia dela Nap al predio es aproximadamente 320 mtrs estamos autorizados hasta 250 no hay más nap disponibles cerca para realizar algún cambio"/>
    <s v="N/A"/>
    <s v="N/A"/>
    <s v="N/A"/>
    <d v="2026-08-06T00:00:00"/>
    <x v="4"/>
    <x v="5"/>
    <s v="N/A"/>
  </r>
  <r>
    <s v="AGOSTO"/>
    <s v="MDM-FIBRA-019982574"/>
    <x v="2"/>
    <x v="2"/>
    <s v="CC-1070596603"/>
    <s v="MARIA YASMIN BARRIOS SUAREZ"/>
    <s v="calle 63 sur 98d-48"/>
    <s v="ZTE-CONECTAR"/>
    <s v="no es posible realizar la instalación ya que el tubo de ingreso esta tapado con una piedra que no es posible sacar y cliente no acepta hacer adecuaciones para destaparlo, del otro costado no se puede enviar sonda ya que hay varios tubos y no estan marcados, no se sabe cual sea dle predio"/>
    <s v="HOLANDA"/>
    <s v="NO VIABLE"/>
    <n v="1502"/>
    <s v="No viable//no es posible realizar la instalación ya que el tubo de ingreso esta tapado con una piedra que no es posible sacar y cliente no acepta hacer adecuaciones para destaparlo, del otro costado no se puede enviar sonda ya que hay varios tubos y no estan marcados, no se sabe cual sea dle predio"/>
    <s v="N/A"/>
    <s v="N/A"/>
    <s v="N/A"/>
    <d v="2026-08-06T00:00:00"/>
    <x v="4"/>
    <x v="5"/>
    <s v="N/A"/>
  </r>
  <r>
    <s v="AGOSTO"/>
    <s v="MDM-FIBRA-020029088"/>
    <x v="2"/>
    <x v="2"/>
    <s v="CC-1018445335"/>
    <s v="MAYDEE LORENA MUÑOZ SUAREZ"/>
    <s v="KR 12D ESTE 29 41 SUR"/>
    <s v="ZTE-BFTEL"/>
    <s v="Orden no se puede ejecutar ya que la distancia dela Nap al predio es aproximadamente 320 mtrs estamos autorizados hasta 250 no hay más nap disponibles cerca para realizar algún cambio"/>
    <s v="SANTA INES"/>
    <s v="NO VIABLE"/>
    <n v="1502"/>
    <s v="No viable//Orden no se puede ejecutar ya que la distancia dela Nap al predio es aproximadamente 320 mtrs estamos autorizados hasta 250 no hay más nap disponibles cerca para realizar algún cambio"/>
    <s v="N/A"/>
    <s v="N/A"/>
    <s v="N/A"/>
    <d v="2026-08-06T00:00:00"/>
    <x v="4"/>
    <x v="5"/>
    <s v="N/A"/>
  </r>
  <r>
    <s v="AGOSTO"/>
    <s v="MDM-FIBRA-020049215"/>
    <x v="0"/>
    <x v="0"/>
    <s v="CC-17127288"/>
    <s v="JAIRO BERNARDO PARRA FORERO"/>
    <s v="KR 7 65 74 AP 301"/>
    <s v="ZTE-NETWORKING"/>
    <s v="tendido de fibra se valida ruta la ducteria esta obstruida  no pasa sonda se requiere cuadrilla de quiebre "/>
    <s v="CHICO"/>
    <s v="APLAZAMIENTO"/>
    <n v="1502"/>
    <s v="*Aplazamiento*_x000d__x000a_MDM-FIBRA-020049215_x000d__x000a_estado caso_x000d__x000a_AGENDADO OK CUADRILLA_x000d__x000a_observaciones_x000d__x000a_CD ORDEN:MDM-FIBRA-020049215 HORA:2026-08-06 13:40:47 NOTAS TECNICO:cuadrilla en predio, cliente indica que no puede atender solicita reprogramar para el dia sabado 08-08 am NOTAS U OBSERVACIONES CLARAS: JAIRO BERNARDO PARRA FORERO 3002681013 contactado confirma para el dia sabado 08-08 AM BACK MILDRED ZUÑIGA TK:174547_x000d__x000a_"/>
    <s v="N/A"/>
    <s v="N/A"/>
    <s v="N/A"/>
    <d v="2026-08-06T00:00:00"/>
    <x v="4"/>
    <x v="4"/>
    <s v="CARRO"/>
  </r>
  <r>
    <s v="AGOSTO"/>
    <s v="MDM-FIBRA-019958850"/>
    <x v="2"/>
    <x v="2"/>
    <s v="CC-45476779"/>
    <s v="CARMEN CECILIA ARROYO PALACIO"/>
    <s v="CL 3 3A 14"/>
    <s v="ZTE-BFTEL"/>
    <s v="el nap asignado no está en físico en la ubicación que envían, sin servicios activos, posibles reíngresos sin posteria de apoyo"/>
    <s v="SANTA INES"/>
    <s v="NO VIABLE"/>
    <n v="1502"/>
    <s v="No viable//el nap asignado no está en físico en la ubicación que envían, sin servicios activos, posibles reíngresos sin posteria de apoyo"/>
    <s v="N/A"/>
    <s v="N/A"/>
    <s v="N/A"/>
    <d v="2026-08-06T00:00:00"/>
    <x v="4"/>
    <x v="5"/>
    <s v="N/A"/>
  </r>
  <r>
    <s v="AGOSTO"/>
    <s v="MDM-FIBRA-020004251"/>
    <x v="0"/>
    <x v="0"/>
    <s v="CC-51958287"/>
    <s v="ROSA ELENA GALVIS CHAPARRO"/>
    <s v="CL 33 BIS 4A 33"/>
    <s v="ZTE-BFTEL"/>
    <s v="se realiza validacion de canalizacion encontrando obstruccion"/>
    <s v="CUNI"/>
    <s v="SOLUCIONADA"/>
    <n v="1502"/>
    <s v="*Orden Solucionada*_x000d__x000a_MDM-FIBRA-020004251_x000d__x000a_Se ingresa al cliente, se valida que no se encuentran tomas telefónicas y se valida ruta, se realiza tendido tendido de fibra óptica desde el punto requerido por el cliente saliendo y llegando al poste donde se encuentra la nap asignada. Se gastan 20 MTS de F.O f8. No se generan daños ni pérdidas durante la instalacion. Tecnico fredy corredor_x000d__x000a_"/>
    <s v="N/A"/>
    <s v="N/A"/>
    <s v="N/A"/>
    <d v="2026-08-06T00:00:00"/>
    <x v="4"/>
    <x v="4"/>
    <s v="CARRO"/>
  </r>
  <r>
    <s v="AGOSTO"/>
    <s v="MDM-FIBRA-020032278"/>
    <x v="2"/>
    <x v="2"/>
    <s v="CC-51790860"/>
    <s v="ZORAIDA GALINDO RODRIGUEZ"/>
    <s v="CL 138 55 53 IN 30 LC 1"/>
    <s v="ZTE-CONECTAR"/>
    <s v="pendiente hasta que usuario habilite ruta de fibra Para ingresar  fibra"/>
    <s v="TOBERIN"/>
    <s v="NO VIABLE"/>
    <n v="1501"/>
    <s v="No viable//pendiente hasta que usuario habilite ruta de fibra Para ingresar  fibra"/>
    <s v="N/A"/>
    <s v="N/A"/>
    <s v="N/A"/>
    <d v="2026-08-06T00:00:00"/>
    <x v="4"/>
    <x v="5"/>
    <s v="N/A"/>
  </r>
  <r>
    <s v="AGOSTO"/>
    <s v="MDM-FIBRA-019997449"/>
    <x v="1"/>
    <x v="1"/>
    <s v="CC-17658060"/>
    <s v="CARLOS ANDRES RAMIREZ SEGURA"/>
    <s v="KR 91 137 59 TO 1 AP 1408"/>
    <s v="ZTE-NETWORKING"/>
    <s v="ducteria obstruida se busca por todo lado no hay probabilidad de ingresar el cable zona comun"/>
    <s v="SUBA"/>
    <s v="NO VIABLE"/>
    <n v="1502"/>
    <s v="MDM-FIBRA-019997449_x000a_estado caso_x000a_NO CONTACTADO_x000a_observaciones_x000a_CD HORA:8:30 TK:174615 ORDEN:MDM-FIBRA-019997449 NOTAS CD :3001381929 no contestan BACK:YESSICA DIAZ NOTAS TECNICO: cuadrilla en predio, cliente indica que decidió cancelar el servicio, no da mas información"/>
    <s v="N/A"/>
    <s v="N/A"/>
    <s v="N/A"/>
    <d v="2026-08-01T00:00:00"/>
    <x v="5"/>
    <x v="2"/>
    <s v="MOTO"/>
  </r>
  <r>
    <s v="AGOSTO"/>
    <s v="MDM-FIBRA-020014659"/>
    <x v="0"/>
    <x v="0"/>
    <s v="CC-1024552956"/>
    <s v="HEINER DANILO LOZANO LOZANO"/>
    <s v="KR 97C 49C 15 SUR CA 65"/>
    <s v="ZTE-CONECTAR"/>
    <s v="Técnico valida en predio, sonda no pasa, se requiere cuadrilla de quiebre "/>
    <s v="HOLANDA"/>
    <s v="NO VIABLE"/>
    <n v="1502"/>
    <s v="MDM-FIBRA-020014659_x000a_estado caso_x000a_NO CONTACTADO_x000a_observaciones_x000a_CD HORA: 2026-08-08 13:41:09 TK:174692 ORDEN:MDM-FIBRA-020014659 NOTAS U OBSERVACIONES CLARAS:HEINER DANILO LOZANO LOZANO 3224777313 SIN RESPUESTA NUMERO DE CONTACTO SMS CARI AI: - NUMERO DEL TECNICO:cuadrilla en predio, se marca contacto sin respuesta, se golpea no sale nadie Quintero Gomez Carlos Andres BACK: NATALIA JULIO"/>
    <s v="N/A"/>
    <s v="N/A"/>
    <s v="N/A"/>
    <d v="2026-08-01T00:00:00"/>
    <x v="5"/>
    <x v="4"/>
    <s v="CARRO"/>
  </r>
  <r>
    <s v="AGOSTO"/>
    <s v="MDM-FIBRA-019667097"/>
    <x v="0"/>
    <x v="0"/>
    <s v="CC-52917056"/>
    <s v="YAMILE RAMIREZ SANCHEZ"/>
    <s v="KR 93D 6A 15 IN 9 AP 202"/>
    <s v="ZTE-CONECTAR"/>
    <s v="Ducteria obstruida no pasa sonda se requiere apoyo de cuadrilla"/>
    <s v="SANTA PAZ"/>
    <s v="SOLUCIONADA"/>
    <n v="1502"/>
    <s v="Orden Solucionada_x000a_HILADO_x000a_MDM-FIBRA-019667097_x000a_Se llega a predio, se habla con el usuario, se realiza validación y se busca la ruta desde la nap asignada hasta el predio. Se hilado ductería existente en punta en la pdp y de alli hasta donde se va a dejar el punto. No se generan daños ni pérdidas durante la instalacion. Tecnico jesus silva"/>
    <s v="N/A"/>
    <s v="N/A"/>
    <s v="N/A"/>
    <d v="2026-08-03T00:00:00"/>
    <x v="5"/>
    <x v="3"/>
    <s v="CARRO"/>
  </r>
  <r>
    <s v="AGOSTO"/>
    <s v="MDM-FIBRA-019972569"/>
    <x v="0"/>
    <x v="0"/>
    <s v="CC-52250850"/>
    <s v="LIDA EDITH NUÑEZ VALENCIA"/>
    <s v="KR 81B 6B 85 CA 63"/>
    <s v="ZTE-CONECTAR"/>
    <s v=" Ducteria obstruida no pasa sonda se requiere apoyo de cuadrilla quiebre"/>
    <s v="HOLANDA"/>
    <s v="SOLUCIONADA"/>
    <n v="1502"/>
    <s v="*Orden Solucionada*_x000a_MDM-FIBRA-019972569_x000a_Se llega a predio, se habla con el usuario, se realiza validación y se busca la ruta desde la nap asignada hasta el predio. se extiende fibra desde la nap hasta el  punto requerido por el cliente. Se gastan 50 mts de fibra drop de baja. No se generan daños ni pérdidas durante la instalacion. Tecnico jesus silva"/>
    <n v="50"/>
    <s v="N/A"/>
    <s v="N/A"/>
    <d v="2026-08-01T00:00:00"/>
    <x v="5"/>
    <x v="3"/>
    <s v="CARRO"/>
  </r>
  <r>
    <s v="AGOSTO"/>
    <s v="MDM-FIBRA-020003861"/>
    <x v="0"/>
    <x v="0"/>
    <s v="CC-1000163601"/>
    <s v="DANIEL ESTEBAN SABOGAL ROZO"/>
    <s v="KR 73 40 31 SUR BQ 9 IN 1 AP 202"/>
    <s v="ZTE-FODEN"/>
    <s v="se encuentra obstruido le nap hacia la caja de de paso que es la que nos lleva hacia la torre"/>
    <s v="MUZU"/>
    <s v="SOLUCIONADA"/>
    <n v="1502"/>
    <s v="Orden Solucionada_x000a_MDM-FIBRA-020003861_x000a_Se realiza validacion y sondeo, cliente no cuenta con toma telefonica, se evidencia canaleta hacia la parte de atrás del apartamento, se llega a caja de paso en zona verde, desde la caja de paso se cruza por 3 cajas hasta llegar a la nap asignada. En predio se deja reserva a petición del cliente. Se gastan 85 Mts Baja Friccion. No se generan daños ni pérdidas durante la instalacion. Tecnico luis hoyos"/>
    <n v="85"/>
    <s v="N/A"/>
    <s v="N/A"/>
    <d v="2026-08-05T00:00:00"/>
    <x v="5"/>
    <x v="0"/>
    <s v="CARRO"/>
  </r>
  <r>
    <s v="AGOSTO"/>
    <s v="MDM-FIBRA-020025327"/>
    <x v="1"/>
    <x v="1"/>
    <s v="CC-43220203"/>
    <s v="ISABEL CRISTINA TOBON ARREDONDO"/>
    <s v="KR 23 104 85 AP 602"/>
    <s v="ZTE-COLVATEL"/>
    <s v="Realiza validación se evidencia dificultad en ducteria por complejidad hilado"/>
    <s v="CHICO"/>
    <s v="SOLUCIONADA"/>
    <n v="1502"/>
    <s v="*Orden Solucionada*_x000a_*HILADO*_x000a_MDM-FIBRA-020025327_x000a_Se realiza hilado para punto periférico desde la ont enviamos por ducto de telefonía hasta una toma en habitación. Luego pasamos a la toma del estudio donde usuario solicita el ap. No se generan daños ni pérdidas durante la instalacion. Tecnico edwin diaz "/>
    <s v="N/A"/>
    <s v="N/A"/>
    <s v="N/A"/>
    <d v="2026-08-05T00:00:00"/>
    <x v="5"/>
    <x v="2"/>
    <s v="MOTO"/>
  </r>
  <r>
    <s v="AGOSTO"/>
    <s v="MDM-FIBRA-020018196"/>
    <x v="0"/>
    <x v="0"/>
    <s v="CC-80748465"/>
    <s v="DIEGO ALEJANDRO HOLGUIN CUSGUEN"/>
    <s v="CL 42 sur # 12f - 22"/>
    <s v="ZTE-BFTEL"/>
    <s v="obstrucción caja fachada ducto de TV único ingreso a toma principal apto, sonda tranca, cables no se mueven , claro"/>
    <s v="MUZU"/>
    <s v="APLAZAMIENTO"/>
    <n v="1501"/>
    <s v="Aplazamiento_x000a_MDM-FIBRA-020018196_x000a_estado caso_x000a_NO CONTACTADO_x000a_observaciones_x000a_CD HORA:8:51 TK:174618 ORDEN:MDM-FIBRA-020018196 NOTAS CD : 3053476825 no contestan BACK:YESSICA DIAZ NOTAS TECNICO: cuadrilla en predio, cliente indica que no puede atender, solicita reprogramar para el dia martes 11-08"/>
    <s v="N/A"/>
    <s v="N/A"/>
    <s v="N/A"/>
    <d v="2026-08-05T00:00:00"/>
    <x v="5"/>
    <x v="0"/>
    <s v="CARRO"/>
  </r>
  <r>
    <s v="AGOSTO"/>
    <s v="MDM-FIBRA-020024349"/>
    <x v="1"/>
    <x v="1"/>
    <s v="CC-98552844"/>
    <s v="MARCO ANTONIO SALVATIERRA FIGUEROA"/>
    <s v="CL 105 19A 74 AP 601"/>
    <s v="ZTE-NETWORKING"/>
    <s v="Hay que bajar la fibra hasta el sótano Se procede a realizar la instalación Se envía la fibra óptica desde el piso 6 Se pudo llegar hasta el piso 2do _x000a_Ya que en la caja de piso no hay guías y no pasa la sonda"/>
    <s v="CHICO"/>
    <s v="APLAZAMIENTO"/>
    <n v="1502"/>
    <s v="*Aplazamiento*_x000a_MDM-FIBRA-020024349_x000a_estado caso_x000a_NO CONTACTADO_x000a_observaciones_x000a_CD HORA: 2026-08-08 11:00:32 TK:174654 ORDEN:MDM-FIBRA-020024349 NOTAS U OBSERVACIONES CLARAS:MARCO ANTONIO SALVATIERRA FIGUEROA 3116498091 SIN RESPUESTA NUMERO DE CONTACTO SMS CARI AI: - NUMERO DEL TECNICO:Cuadrilla en predio, se marca a contacto, cliente indica que se quedo esperando la visita del tecnico de aprov el dia miercoles, solicita reprogramar para el dia lunes en am ROMAN SUTA CASTRO BACK: NATALIA JULIO"/>
    <s v="N/A"/>
    <s v="N/A"/>
    <s v="N/A"/>
    <d v="2026-08-05T00:00:00"/>
    <x v="5"/>
    <x v="2"/>
    <s v="MOTO"/>
  </r>
  <r>
    <s v="AGOSTO"/>
    <s v="MDM-FIBRA-020025524"/>
    <x v="1"/>
    <x v="1"/>
    <s v="CC-1043666748"/>
    <s v="JULIETH CAROLINA JULIO CAJAR"/>
    <s v="KR 8 170 52 TO 5 AP 101"/>
    <s v="ZTE-NETWORKING"/>
    <s v="Se valida servicio ya que el apartamento del sus tiene la ducteria obstruida  ya que el apartamento el nuevo y seria el primer servicio en instalarse se validan por las ducterias del apartamento"/>
    <s v="TOBERIN"/>
    <s v="APLAZAMIENTO"/>
    <n v="1502"/>
    <s v="Aplazamiento_x000a_MDM-FIBRA-020025524_x000a_estado caso_x000a_NO CONTACTADO_x000a_observaciones_x000a_CD HORA:2026-08-08 TK:174664 ORDEN:MDM-FIBRA-020025524 NOTAS U OBSERVACIONES CLARAS: JULIETH CAROLINA JULIO CAJAR 3153716581 3226573185 no contactado BACK:DANNA CORREA NOTAS TECNICO:por horario de administración no se finalizan labores, cliente solicita reprogramar para el dia 10-08"/>
    <s v="N/A"/>
    <s v="N/A"/>
    <s v="N/A"/>
    <d v="2026-08-06T00:00:00"/>
    <x v="5"/>
    <x v="2"/>
    <s v="MOTO"/>
  </r>
  <r>
    <s v="AGOSTO"/>
    <s v="MDM-FIBRA-020004217"/>
    <x v="0"/>
    <x v="0"/>
    <s v="CC-1007017510"/>
    <s v="MANUELA RODRIGUEZ PEÑA"/>
    <s v="CL 77 1 51 ESTE IN 1 AP 402"/>
    <s v="ZTE-NETWORKING"/>
    <s v="e valida ruta de acceso a predio presenta obstrucción"/>
    <s v="CHICO"/>
    <s v="NO VIABLE"/>
    <n v="1502"/>
    <s v="MDM-FIBRA-020004217_x000a_estado caso_x000a_NO CONTACTADO_x000a_observaciones_x000a_CD HORA: 2026-08-08 13:12:53 TK:174684 ORDEN:MDM-FIBRA-020004217 NOTAS U OBSERVACIONES CLARAS:MANUELA RODRIGUEZ PEÑA 3176797245 3184780787 SIN RESPUESTA NUMEROS DE CONTACTO SMS CARI AI: - NUMERO DEL TECNICO:cuadrilla en sitio se marca a contactos sin respuesta, seguridad indica que no hay nadie POLOCHE TIQUE LUIS ALBERTO BACK: NATALIA JULIO"/>
    <s v="N/A"/>
    <s v="N/A"/>
    <s v="N/A"/>
    <d v="2026-08-06T00:00:00"/>
    <x v="5"/>
    <x v="1"/>
    <s v="CARRO"/>
  </r>
  <r>
    <s v="AGOSTO"/>
    <s v="MDM-FIBRA-020018118"/>
    <x v="0"/>
    <x v="0"/>
    <s v="CC-78673340"/>
    <s v="CESAR EUGENIO DELACRUZ ORDOSGOITIA"/>
    <s v="CL 28 13A 24 AP 410"/>
    <s v="ZTE-BFTEL"/>
    <s v="n la viabilidad que se evidenció es necesario llevar el drop unitario hasta la nap asignada,pero existe una obstruccion entre la caja de paso y la toma principal sonda no pasa,no hay guía"/>
    <s v="CUNI"/>
    <s v="NO VIABLE"/>
    <n v="1501"/>
    <s v="Orden No viable_x000a_MDM-FIBRA-020018118_x000a_Se llega a predio, se habla con el usuario el cual autoriza realizar validación, se realiza sondeo de predio a salir a cajas de pasillo en techo y se evidencia que todo va por camilla al llegar a caja de paso en techo cerca al ascensor, la tapa solo se puede correr hasta la mitad. se realiza sondeo y sonda tranca a 1 metro sobre la viga; se trata de mover pero no se encuentra vía a para poder llegar a siguiente caja de paso. única ruta de acceso y no se encuentran guías ni cables que sirvan para tender fibra. No se generan daños ni pérdidas durante la validación. Autoriza supervisor Yeison martinez"/>
    <s v="N/A"/>
    <s v="N/A"/>
    <s v="N/A"/>
    <d v="2026-08-06T00:00:00"/>
    <x v="5"/>
    <x v="1"/>
    <s v="CARRO"/>
  </r>
  <r>
    <s v="AGOSTO"/>
    <s v="MDM-FIBRA-020038357"/>
    <x v="0"/>
    <x v="0"/>
    <s v="CC-52009420"/>
    <s v="NELLY TORRES HERNANDEZ"/>
    <s v="CL 6A 89 42 IN 24 AP 401"/>
    <s v="ZTE-COLVATEL"/>
    <s v="obstrucción entre caja de paso de predio a caja de comunicación sonda avanza aproximadamente 4 metros y no se mueve más  "/>
    <s v="FONTIBON"/>
    <s v="SOLUCIONADA"/>
    <n v="1502"/>
    <s v="Orden Solucionada_x000a_HILADO_x000a_MDM-FIBRA-020038357_x000a_Se llega a predio, se habla con el usuario, se realiza validación y se busca la ruta desde la nap asignada hasta el predio. se realiza hilado desde NAP PRE-CONECTORIZADA y de alli hasta donde se va a dejar el punto. No se generan daños ni pérdidas durante la instalacion. Tecnico jesus silva"/>
    <s v="N/A"/>
    <s v="N/A"/>
    <s v="N/A"/>
    <d v="2026-08-06T00:00:00"/>
    <x v="5"/>
    <x v="3"/>
    <s v="CARRO"/>
  </r>
  <r>
    <s v="AGOSTO"/>
    <s v="MDM-FIBRA-020027983"/>
    <x v="0"/>
    <x v="0"/>
    <s v="CC-1030660859"/>
    <s v="MAIRA ALEJANDRA MATIZ BELTRAN"/>
    <s v="CL 65 SUR 104 41 CA 312"/>
    <s v="ZTE-CONECTAR"/>
    <s v="Técnico valida en predio, sonda no pasa, se requiere cuadrilla de quiebre "/>
    <s v="HOLANDA"/>
    <s v="SOLUCIONADA"/>
    <n v="1502"/>
    <s v="Orden Solucionada_x000a_MDM-FIBRA-020027983_x000a_Se ingresa al cliente, se validan tomas telefónicas y caja de distribución en fachada, se realiza sondeo a caja de distribución en anden por tramo largo, se logra pasar la sonda utilizando suavizantes. se realiza tendido de fibra óptica desde el punto requerido por el cliente saliendo a la caja de distribución en pasillo y posteriormente pasando por tres cajas más en anden llegando a la caja cpd donde se encuentra la nap asignada. Se gastan 55 MTS de F.O de baja fricción. No se generan daños ni pérdidas durante la instalacion. Tecnico fredy corredor"/>
    <n v="55"/>
    <s v="N/A"/>
    <s v="N/A"/>
    <d v="2026-08-06T00:00:00"/>
    <x v="5"/>
    <x v="4"/>
    <s v="CARRO"/>
  </r>
  <r>
    <s v="AGOSTO"/>
    <s v="MDM-FIBRA-020049215"/>
    <x v="0"/>
    <x v="0"/>
    <s v="CC-17127288"/>
    <s v="JAIRO BERNARDO PARRA FORERO"/>
    <s v="KR 7 65 74 AP 301"/>
    <s v="ZTE-NETWORKING"/>
    <s v="tendido de fibra se valida ruta la ducteria esta obstruida  no pasa sonda se requiere cuadrilla de quiebre "/>
    <s v="CHICO"/>
    <s v="CANCELADA"/>
    <n v="1502"/>
    <s v="*Orden Cancelada*_x000a_MDM-FIBRA-020049215_x000a_estado caso_x000a_CLIENTE DESISTE_x000a_observaciones_x000a_CD HORA: 2026-08-08 12:25:40 TK:174671 ORDEN:MDM-FIBRA-020049215 NOTAS U observaciones claras:jairo bernardo parra forero 3002681013 3005725365 usuario confirmacion e informa que no se logro pasar cableado , adicional prefiere que no haya cables figurados dentro del predio como lo confirma el tecnico sms cari ai: - numero del tecnico: se realiza validación de ruta con viabilidad y acceso a predio. al cliente le ofrecieron 1 deco pero dentro del precio no hay caja de distribución interna y cliente no acepta cables figurados dentro del predio y prefiere cancelar el servicio CHICO, 13-08-26 BACK: NATALIA JULIO"/>
    <s v="N/A"/>
    <s v="N/A"/>
    <s v="N/A"/>
    <d v="2026-08-06T00:00:00"/>
    <x v="5"/>
    <x v="1"/>
    <s v="CARRO"/>
  </r>
  <r>
    <s v="AGOSTO"/>
    <s v="MDM-FIBRA-020017843"/>
    <x v="2"/>
    <x v="2"/>
    <s v="CC-52786113"/>
    <s v="DIANA MARITZA GONZALEZ GARZON"/>
    <s v="KR 98A 61A 29 SUR PI 2"/>
    <s v="ZTE-CONECTAR"/>
    <s v=" Técnico valida en predio, no se cuenta con ductos para ingreso de la fibra por remodelaciones que hubieron anteriormente"/>
    <s v="HOLANDA"/>
    <s v="NO VIABLE"/>
    <n v="1502"/>
    <s v="No viable// Técnico valida en predio, no se cuenta con ductos para ingreso de la fibra por remodelaciones que hubieron anteriormente"/>
    <s v="N/A"/>
    <s v="N/A"/>
    <s v="N/A"/>
    <d v="2026-08-08T00:00:00"/>
    <x v="5"/>
    <x v="5"/>
    <s v="N/A"/>
  </r>
  <r>
    <s v="AGOSTO"/>
    <s v="MDM-FIBRA-020016526"/>
    <x v="0"/>
    <x v="0"/>
    <s v="CC-79908285"/>
    <s v="LUIS FERNANDO RODRIGUEZ ALBA"/>
    <s v="DG 62 SUR 20A 42 CA 111"/>
    <s v="ZTE-FODEN"/>
    <s v="se llega al predio se realiza la instalcion pero la ducteria esta obstruida"/>
    <s v="MUZU"/>
    <s v="SOLUCIONADA"/>
    <n v="1502"/>
    <s v="*Orden Solucionada*_x000a_MDM-FIBRA-020016526_x000a_Se realiza validacion y sondeo desde caja telefonica, saliendo a caja fachada y desde alli hasta caja de paso en el piso, se lleva hasta la siguiente caja de paso donde se encuentra la nap.  En predio se deja donde es requerido. Se gastan 30 Mts Baja Friccion. xNo se generan daños ni pérdidas durante la instalacion. Tecnico luis hoyos"/>
    <n v="30"/>
    <s v="N/A"/>
    <s v="N/A"/>
    <d v="2026-08-08T00:00:00"/>
    <x v="5"/>
    <x v="0"/>
    <s v="CARRO"/>
  </r>
  <r>
    <s v="AGOSTO"/>
    <s v="MDM-FIBRA-020025506"/>
    <x v="0"/>
    <x v="0"/>
    <s v="CC-1065601802"/>
    <s v="MOISES ALEJANDRO DIAZ QUINTERO"/>
    <s v="KR 63 22 10 BQ 1 CA 4"/>
    <s v="ZTE-BFTEL"/>
    <s v=" en la viabilidad que se evidenció, es necesario llevar el drop unitario hasta la nap asignada, pero se encontró una obstruccion entre cámaras de paso, sonda no pasa, existentes no se mueven"/>
    <s v="CUNI"/>
    <s v="NO VIABLE"/>
    <n v="1502"/>
    <s v="Orden No viable_x000a_MDM-FIBRA-020025506_x000a_Se llega a predio, se realiza validación desde la nap asignada pero las cajas que conectan para la casa se encontro obstruccion, se realiza sondeo no se logra pasar,  se valida ct más cercana  pero las tuberías también están obstruidas, se pide permiso a varios residentes para validación de cajas y la sonda no pasa. No se generan daños ni pérdidas durante la validacion. autoriza supervisor Yeison martinez."/>
    <s v="N/A"/>
    <s v="N/A"/>
    <s v="N/A"/>
    <d v="2026-08-05T00:00:00"/>
    <x v="6"/>
    <x v="3"/>
    <s v="CARRO"/>
  </r>
  <r>
    <s v="AGOSTO"/>
    <s v="MDM-FIBRA-020031166"/>
    <x v="1"/>
    <x v="1"/>
    <s v="CC-1018411972"/>
    <s v="DAVID FELIPE RODRIGUEZ VILLA"/>
    <s v="TV 60 115 58 TO B OF 506"/>
    <s v="ZTE-NETWORKING"/>
    <s v="se valida ruta de acceso a predio presenta obstrucción"/>
    <s v="CHICO"/>
    <s v="SOLUCIONADA"/>
    <n v="1502"/>
    <s v="Orden Solucionada_x000a_MDM-FIBRA-020031166_x000a_Se instalan 59 MTRS de drop de baja fricción desde la caja de paso ubicada en piso 6 bajamos el drop y lo pasamos por el techo hasta ducto acondicionado, se pasa a la caja de paso, luego por ducto de telefonía hasta la toma principal,  se lleva perfilado por el guardescobas hasta la esquina del punto indicado. No se generan daños ni pérdidas durante la instalacion. Tecnico edwin diaz"/>
    <n v="59"/>
    <s v="N/A"/>
    <s v="N/A"/>
    <d v="2026-08-05T00:00:00"/>
    <x v="6"/>
    <x v="2"/>
    <s v="MOTO"/>
  </r>
  <r>
    <s v="AGOSTO"/>
    <s v="MDM-FIBRA-020025658"/>
    <x v="0"/>
    <x v="0"/>
    <s v="CC-80822121"/>
    <s v="MARTIN ANZELLINI GARCIA REYES"/>
    <s v="CL 78 12 29 IN 3 AP 702"/>
    <s v="ZTE-NETWORKING"/>
    <s v="ducteria  obstruida tubos galvanizado lo cual se oxidaron y no deja mover los cables la sonda solo entra medio metro tapados "/>
    <s v="CHICO"/>
    <s v="NO VIABLE"/>
    <n v="1502"/>
    <s v="MDM-FIBRA-020025658_x000a_estado caso_x000a_NO CONTACTADO_x000a_observaciones_x000a_CD HORA:2026-08-10 11:40:29 TK:174839 ORDEN:MDM-FIBRA-020025658 NOTAS U OBSERVACIONES CLARAS: TIPOLOGÍA YA NO SE MANEJA POR CD BACK:DANNA CORREA NOTAS TECNICO:cuadrilla en predio, cliente no responde a contacto, seguridad indica que cliente no responde"/>
    <s v="N/A"/>
    <s v="N/A"/>
    <s v="N/A"/>
    <d v="2026-08-06T00:00:00"/>
    <x v="6"/>
    <x v="4"/>
    <s v="CARRO"/>
  </r>
  <r>
    <s v="AGOSTO"/>
    <s v="MDM-FIBRA-020028502"/>
    <x v="0"/>
    <x v="0"/>
    <s v="CC-52853990"/>
    <s v="JOHANNA MILENA RODRIGUEZ CASTILLO"/>
    <s v="CL 7 94 78 CA 236"/>
    <s v="ZTE-COLVATEL"/>
    <s v="obstrucción entre cámaras de paso sonda avanza aproximadamente 6 m y tranca cables de guía tampoco"/>
    <s v="FONTIBON"/>
    <s v="APLAZAMIENTO"/>
    <n v="1502"/>
    <s v="Aplazamiento_x000a_MDM-FIBRA-020028502_x000a_estado caso_x000a_NO CONTACTADO_x000a_observaciones_x000a_CD HORA:2026-08-10 12:07:47 TK:174849 ORDEN:MDM-FIBRA-020028502 NOTAS U OBSERVACIONES CLARAS: TIPOLOGÍA YA NO SE MANEJA POR CD BACK:DANNA CORREA NOTAS TECNICO:cuadrilla en predio, cliente indica que no puede recibir el dia de hoy, solicita reprogramar para el dia 12-08 en am"/>
    <s v="N/A"/>
    <s v="N/A"/>
    <s v="N/A"/>
    <d v="2026-08-06T00:00:00"/>
    <x v="6"/>
    <x v="3"/>
    <s v="CARRO"/>
  </r>
  <r>
    <s v="AGOSTO"/>
    <s v="MDM-FIBRA-019987305"/>
    <x v="0"/>
    <x v="0"/>
    <s v="CC-1140880469"/>
    <s v="SERGIO ANDRES GOMEZ LUQUE"/>
    <s v="KR 7 62 43 AP 501"/>
    <s v="ZTE-NETWORKING"/>
    <s v=" se llega a predio se valida ingreso por tomas telefónicas y de coaxial el cual no puedo ingresar la sonda ingresa pero no llega ala caja de paso se encuentra una obstrucion como a 10 metros"/>
    <s v="CHICO"/>
    <s v="APLAZAMIENTO"/>
    <n v="1502"/>
    <s v="Aplazamiento_x000a_MDM-FIBRA-019987305_x000a_cuadrilla en predio, se marca a contacto, cliente solicita reprogramar para el dia 11-08 en pm"/>
    <s v="N/A"/>
    <s v="N/A"/>
    <s v="N/A"/>
    <d v="2026-08-06T00:00:00"/>
    <x v="6"/>
    <x v="4"/>
    <s v="CARRO"/>
  </r>
  <r>
    <s v="AGOSTO"/>
    <s v="MDM-FIBRA-020027789"/>
    <x v="0"/>
    <x v="0"/>
    <s v="CC-1030676580"/>
    <s v="SANTIAGO ALFONSO ACOSTA AYOLA"/>
    <s v="KR 98 2 32 ET 2 IN 2 AP 404"/>
    <s v="ZTE-COLVATEL"/>
    <s v="Realiza validación obstrucción de nap a predio pasando por 4 cdp "/>
    <s v="CALANDAIMA"/>
    <s v="SOLUCIONADA"/>
    <n v="1502"/>
    <s v="Orden Solucionada_x000a_HILADO_x000a_MDM-FIBRA-020027789_x000a_Se realiza validacion y sondeo desde caja tv, se envía sonda hasta llegar a caja de paso en pasillo,  baja hasta el 1er piso donde se debe cruzar a un strip telefonico y de ahí sale hasta la caja de condensa donde se encuentra la nap asignada. En prdio se deja hilado hasta sitio indicado. No se generan daños ni pérdidas durante la instalacion. Tecnico Luis hoyos"/>
    <s v="N/A"/>
    <s v="N/A"/>
    <s v="N/A"/>
    <d v="2026-08-06T00:00:00"/>
    <x v="6"/>
    <x v="0"/>
    <s v="CARRO"/>
  </r>
  <r>
    <s v="AGOSTO"/>
    <s v="MDM-FIBRA-020035411"/>
    <x v="0"/>
    <x v="0"/>
    <s v="CC-52890252"/>
    <s v="JENNY CONSTANZA RENGIFO GONZALEZ"/>
    <s v="CL 60A SUR 73 71 TO 6 AP 423"/>
    <s v="ZTE-FODEN"/>
    <s v="se requiere guia para el apartamento cableado de claro no se mueve y no permiten retirarlo"/>
    <s v="MUZU"/>
    <s v="SOLUCIONADA"/>
    <n v="1502"/>
    <s v="Orden Solucionada_x000a_MDM-FIBRA-020035411_x000a_Se realiza validacion y sondeo desde caja tv, el cliente cuenta con servicios de claro, se envía sonda con dificultad hasta llegar a la caja de paso en pasillo, se baja 2 piso hasta llegar a Furukawa asignada.  En predio se deja donde es requerido. Se gastan 25 Mts Baja Fricción. No se generan daños ni pérdidas durante la instalacion. Tecnico luis hoyos"/>
    <n v="25"/>
    <s v="N/A"/>
    <s v="N/A"/>
    <d v="2026-08-06T00:00:00"/>
    <x v="6"/>
    <x v="0"/>
    <s v="CARRO"/>
  </r>
  <r>
    <s v="AGOSTO"/>
    <s v="MDM-FIBRA-020029989"/>
    <x v="1"/>
    <x v="1"/>
    <s v="CC-52290456"/>
    <s v="DIANA ROCIO GUZMAN GUERRERO"/>
    <s v="CL 163B 50 64 IN 4 AP 514"/>
    <s v="ZTE-CONECTAR"/>
    <s v="Se evidencia que la ductería esta obstruida, no pasa sonda"/>
    <s v="TOBERIN"/>
    <s v="CANCELADA"/>
    <n v="1502"/>
    <s v="Orden Cancelada_x000a_MDM-FIBRA-020029989_x000a_Cuadrilla en predio, se marca a contacto, cliente indica que decidio cancelar el servicio."/>
    <s v="N/A"/>
    <s v="N/A"/>
    <s v="N/A"/>
    <d v="2026-08-06T00:00:00"/>
    <x v="6"/>
    <x v="2"/>
    <s v="MOTO"/>
  </r>
  <r>
    <s v="AGOSTO"/>
    <s v="MDM-FIBRA-020035549"/>
    <x v="0"/>
    <x v="0"/>
    <s v="CE-697538"/>
    <s v="ILIANA DE LOS ANGELES FLORES PEREZ"/>
    <s v="KR 9 82 30 AP 402"/>
    <s v="ZTE-NETWORKING"/>
    <s v="orden no pasa la sonda del apartamento a la caja ni de la caja al apto adicional cogieron el cuarto donde esta la CT de etb como deposito"/>
    <s v="CHICO"/>
    <s v="SOLUCIONADA"/>
    <n v="1502"/>
    <s v="Orden Solucionada_x000a_MDM-FIBRA-020035549_x000a_Se ingresa al cliente, se validan tomas telefónicas y caja de distribución en pasillo, se realiza sondeo de ductos tramo largo y ducto saturados de cables,  se logra pasar la sonda. se realiza tendido de fibra óptica desde el punto requerido por el cliente saliendo a la caja de distribución en pasillo donde se encuentra la CT asignada. Se gastan 30 MTS de F.O de baja fricción. No se generan daños ni pérdidas durante la instalacion. Tecnico fredy corredor"/>
    <n v="30"/>
    <s v="N/A"/>
    <s v="N/A"/>
    <d v="2026-08-06T00:00:00"/>
    <x v="6"/>
    <x v="4"/>
    <s v="CARRO"/>
  </r>
  <r>
    <s v="AGOSTO"/>
    <s v="MDM-FIBRA-020004436"/>
    <x v="1"/>
    <x v="1"/>
    <s v="CC-1030601512"/>
    <s v="ANA LORENA RIOS OLIVEROS"/>
    <s v="CL 96 45A 40 ET 2 AG 1 IN 3 AP 101"/>
    <s v="ZTE-NETWORKING"/>
    <s v="se valida ruta de acceso a predio presenta obstrucción"/>
    <s v="CHICO"/>
    <s v="NO VIABLE"/>
    <n v="1502"/>
    <s v="Orden No viable_x000a_MDM-FIBRA-020004436_x000a_realizamos validación de ruta para tendido, evidenciamos que de la toma principal hacia la caja de paso la sonda  ingresa 7 mtrs y tranca, de afuera hacia adentro ingresan  5 mtrs y se tranca; no hay tomas de tv, cable coaxial existente no se mueve,  por citofono cliente no autoriza cablear por fuera; no hay ingreso por tv, no hay comunicación al sótano. No se generan daños ni pérdidas durante la validación. autoriza supervisor Yeison martinez."/>
    <s v="N/A"/>
    <s v="N/A"/>
    <s v="N/A"/>
    <d v="2026-08-08T00:00:00"/>
    <x v="6"/>
    <x v="2"/>
    <s v="MOTO"/>
  </r>
  <r>
    <s v="AGOSTO"/>
    <s v="MDM-FIBRA-020029788"/>
    <x v="0"/>
    <x v="0"/>
    <s v="CC-1019037446"/>
    <s v="ICZAN JAIR ALVARADO DUARTE"/>
    <s v="CL 193 7 37 AP 805"/>
    <s v="ZTE-NETWORKING"/>
    <s v="se valida ruta de acceso a predio presenta obstrucción"/>
    <s v="TOBERIN"/>
    <s v="APLAZAMIENTO"/>
    <n v="1502"/>
    <s v="Aplazamiento_x000a_MDM-FIBRA-020029788_x000a_estado caso_x000a_NO CONTACTADO_x000a_observaciones_x000a_CD HORA: 2026-08-10 11:24:51 TK: 174833 ORDEN: MDM-FIBRA-020029788 NOTAS U OBSERVACIONES CLARAS: solicitud de la orden no se gestiona desde despachos BACK:jeisy hernandez NOTAS TECNICO: cuadrilla en predio, se marca a contacto, cliente solicita reprogramar para el dia viernes 14-08"/>
    <s v="N/A"/>
    <s v="N/A"/>
    <s v="N/A"/>
    <d v="2026-08-08T00:00:00"/>
    <x v="6"/>
    <x v="1"/>
    <s v="CARRO"/>
  </r>
  <r>
    <s v="AGOSTO"/>
    <s v="MDM-FIBRA-019912807"/>
    <x v="0"/>
    <x v="0"/>
    <s v="CC-52500693"/>
    <s v="SANDRA MILENA CUESTA RAMIREZ"/>
    <s v="CL 7 94 61 CA 15"/>
    <s v="ZTE-COLVATEL"/>
    <s v="Realiza validación, encuentra obstrucción entre cajas de paso toca cablear de pto hasta nap "/>
    <s v="FONTIBON"/>
    <s v="NO VIABLE"/>
    <n v="1502"/>
    <s v="MDM-FIBRA-019912807_x000a_NO CONTACTADO_x000a_cuadrilla en predio, se marca a contacto sin respuesta, seguridad indica que no hay nadie."/>
    <s v="N/A"/>
    <s v="N/A"/>
    <s v="N/A"/>
    <d v="2026-08-08T00:00:00"/>
    <x v="6"/>
    <x v="3"/>
    <s v="CARRO"/>
  </r>
  <r>
    <s v="AGOSTO"/>
    <s v="MDM-FIBRA-020024349"/>
    <x v="0"/>
    <x v="0"/>
    <s v="CC-98552844"/>
    <s v="MARCO ANTONIO SALVATIERRA FIGUEROA"/>
    <s v="CL 105 19A 74 AP 601"/>
    <s v="ZTE-NETWORKING"/>
    <s v="Hay que bajar la fibra hasta el sótano Se procede a realizar la instalación Se envía la fibra óptica desde el piso 6 Se pudo llegar hasta el piso 2do _x000a_Ya que en la caja de piso no hay guías y no pasa la sonda"/>
    <s v="CHICO"/>
    <s v="NO VIABLE"/>
    <n v="1502"/>
    <s v="MDM-FIBRA-020024349_x000a_estado caso_x000a_NO CONTACTADO_x000a_observaciones_x000a_CD HORA 2026-08-10 08:58:48 TK 174795 MDM-FIBRA-020024349 NOTAS YA NO APLICA PARA GESTION DE NEXUS BACK LINDA PARRA NOTAS TEC cuadrilla en predio, cliente indica que decidio cancelar el servicio DIRECCION CL 105 19A 74 AP 601 CONTACTO 3116498091 CLIENTE MARCO ANTONIO SALVATIERRA FIGUEROA"/>
    <s v="N/A"/>
    <s v="N/A"/>
    <s v="N/A"/>
    <d v="2026-08-05T00:00:00"/>
    <x v="6"/>
    <x v="1"/>
    <s v="CARRO"/>
  </r>
  <r>
    <s v="AGOSTO"/>
    <s v="MDM-FIBRA-019975350"/>
    <x v="0"/>
    <x v="0"/>
    <s v="CC-52110231"/>
    <s v="NUVIA BRAVO HERNADEZ"/>
    <s v="CL 152A 101A 45 IN 12 AP 501"/>
    <s v="ZTE-NETWORKING"/>
    <s v=" se valida ruta de acceso a predio presenta obstrucción la sonda solo pasa unos dos metros se requiere cuadrilla de quiebre"/>
    <s v="SUBA"/>
    <s v="APLAZAMIENTO"/>
    <n v="1502"/>
    <s v="Aplazamiento_x000a_MDM-FIBRA-019975350_x000a_cuadrilla en predio, se marca a contacto, cliente solicita reprogramar para el dia sabado 15-08 en am"/>
    <s v="N/A"/>
    <s v="N/A"/>
    <s v="N/A"/>
    <d v="2026-08-08T00:00:00"/>
    <x v="6"/>
    <x v="1"/>
    <s v="CARRO"/>
  </r>
  <r>
    <s v="AGOSTO"/>
    <s v="MDM-FIBRA-020025524"/>
    <x v="0"/>
    <x v="0"/>
    <s v="CC-1043666748"/>
    <s v="JULIETH CAROLINA JULIO CAJAR"/>
    <s v="KR 8 170 52 TO 5 AP 101"/>
    <s v="ZTE-NETWORKING"/>
    <s v="Se valida servicio ya que el apartamento del sus tiene la ducteria obstruida  ya que el apartamento el nuevo y seria el primer servicio en instalarse se validan por las ducterias del apartamento"/>
    <s v="TOBERIN"/>
    <s v="NO VIABLE"/>
    <n v="1502"/>
    <s v="MDM-FIBRA-020025524_x000a_estado caso_x000a_NO CONTACTADO_x000a_observaciones_x000a_CD HORA 2026-08-10 10:28:25 TK 174818 MDM-FIBRA-020025524 NOTAS YA NO APLICA PARA GESTION DE NEXUS BACK LINDA PARRA NOTAS TEC cuadrilla en predio, se marca a contactos sin respuesta DIRECCION KR 8 170 52 TO 5 AP 101 CONTACTO 3226573185 3153716581 CLIENTE JULIETH CAROLINA JULIO CAJAR"/>
    <s v="N/A"/>
    <s v="N/A"/>
    <s v="N/A"/>
    <d v="2026-08-06T00:00:00"/>
    <x v="6"/>
    <x v="1"/>
    <s v="CARRO"/>
  </r>
  <r>
    <s v="AGOSTO"/>
    <s v="MDM-FIBRA-020027012"/>
    <x v="2"/>
    <x v="2"/>
    <s v="CC-51914698"/>
    <s v="MARTHA YOLANDA ALVARADO MORALES"/>
    <s v="AK 18 12 85 LC A8"/>
    <s v="ZTE-BFTEL"/>
    <s v="drop a nap desde local, se debe hacer tendido por tejado a petición de la administración, presenta riesgo de daño a terceros e integridad de el técnico, además piden que en el recorrido por el pasillo adecuemos ductos para la fibra"/>
    <s v="CUNI"/>
    <s v="NO VIABLE"/>
    <n v="1502"/>
    <s v="No viable//drop a nap desde local, se debe hacer tendido por tejado a petición de la administración, presenta riesgo de daño a terceros e integridad de el técnico, además piden que en el recorrido por el pasillo adecuemos ductos para la fibra"/>
    <s v="N/A"/>
    <s v="N/A"/>
    <s v="N/A"/>
    <d v="2026-08-10T00:00:00"/>
    <x v="6"/>
    <x v="5"/>
    <s v="N/A"/>
  </r>
  <r>
    <s v="AGOSTO"/>
    <s v="MDM-FIBRA-020050428"/>
    <x v="0"/>
    <x v="0"/>
    <s v="CC-1032459338"/>
    <s v="LAURA PATRICIA GERENA CASTRO"/>
    <s v="KR 47 57A 24 BQ 2 AP 303"/>
    <s v="ZTE-BFTEL"/>
    <s v="se realizo sondeo de la canalizacion encontrandose obstruccion"/>
    <s v="CUNI"/>
    <s v="APLAZAMIENTO"/>
    <n v="1502"/>
    <s v="*Aplazamiento*_x000a_MDM-FIBRA-020050428_x000a_No se finaliza validacion,  la persona encargada de abrir el cuarto de paso en piso 1 ya se va. Cliente pide reagendar para mañana Martes  11/08/2026 8 AM en lo posible._x000a_"/>
    <s v="N/A"/>
    <s v="N/A"/>
    <s v="N/A"/>
    <d v="2026-08-10T00:00:00"/>
    <x v="6"/>
    <x v="1"/>
    <s v="CARRO"/>
  </r>
  <r>
    <s v="AGOSTO"/>
    <s v="MDM-FIBRA-020030363"/>
    <x v="0"/>
    <x v="0"/>
    <s v="NIT-901986865"/>
    <s v="INVERSIONES CARBUMODA S.A.S"/>
    <s v="AC 13 60 77 BG"/>
    <s v="ZTE-BFTEL"/>
    <s v="ducteria obstruida no pasa sonda, obstruccion"/>
    <s v="CUNI"/>
    <s v="APLAZAMIENTO"/>
    <n v="1502"/>
    <s v="*Aplazamiento*_x000a_MDM-FIBRA-020030363_x000a_Por horario de administracion no permiten ma slabores, cliente solicita continuar el dia 11-08"/>
    <s v="N/A"/>
    <s v="N/A"/>
    <s v="N/A"/>
    <d v="2026-08-10T00:00:00"/>
    <x v="6"/>
    <x v="3"/>
    <s v="CARRO"/>
  </r>
  <r>
    <s v="AGOSTO"/>
    <s v="MDM-FIBRA-020018582"/>
    <x v="1"/>
    <x v="1"/>
    <s v="CC-52865139"/>
    <s v="DANIELA RODRIGUEZ URIBE"/>
    <s v="CL 72A BIS 1B 10 ESTE AP 108"/>
    <s v="ZTE-NETWORKING"/>
    <s v="se valida ruta de acceso a predio presenta obstrucción"/>
    <s v="CHICO"/>
    <s v="SOLUCIONADA"/>
    <n v="1502"/>
    <s v="Orden Solucionada_x000a_MDM-FIBRA-020018582_x000a_Se instalan 56 MTRS de drop de baja fricción desde la furukawa asignada en sótano,  se pasa por 2 caja de paso en primer piso,  enviamos el drop perfilado por el marco de la puerta dando la vuelta para ingresar por toma de teléfono que comparte con citofono hasta la toma principal,  de esta pasamos a la toma de la cocina luego al segundo piso a toma de teléfono y subimos al piso 3 a la toma de teléfono donde usuario solicita el servicio .los citofonos están son servicio. técnico de instalaciones debe revisar tomas de TV en predio seguramente poner un ap en el primer piso de moviéndose por las tomas de ingreso .la TV va por otra ruta. No se generan daños ni pérdidas durante la instalacion. Tecnico edwin diaz"/>
    <n v="56"/>
    <s v="N/A"/>
    <s v="N/A"/>
    <d v="2026-08-05T00:00:00"/>
    <x v="7"/>
    <x v="2"/>
    <s v="MOTO"/>
  </r>
  <r>
    <s v="AGOSTO"/>
    <s v="MDM-FIBRA-020018196"/>
    <x v="0"/>
    <x v="0"/>
    <s v="CC-80748465"/>
    <s v="DIEGO ALEJANDRO HOLGUIN CUSGUEN"/>
    <s v="CL 42 sur # 12f - 22"/>
    <s v="ZTE-BFTEL"/>
    <s v="obstrucción caja fachada ducto de TV único ingreso a toma principal apto, sonda tranca, cables no se mueven , claro"/>
    <s v="MUZU"/>
    <s v="APLAZAMIENTO"/>
    <n v="1501"/>
    <s v="Aplazamiento_x000a_MDM-FIBRA-020018196_x000a_Cuadrilla en predio, se marca a contacto, cliente indica que no puede atender, solicita reprogramar para el dia sabado 15-08 en am"/>
    <s v="N/A"/>
    <s v="N/A"/>
    <s v="N/A"/>
    <d v="2026-08-05T00:00:00"/>
    <x v="7"/>
    <x v="0"/>
    <s v="CARRO"/>
  </r>
  <r>
    <s v="AGOSTO"/>
    <s v="MDM-FIBRA-020024260"/>
    <x v="0"/>
    <x v="0"/>
    <s v="KCC-80051075"/>
    <s v="ALEXANDRE GONZALEZ VERGARA"/>
    <s v="KR 95A 34 75 SUR IN 21 AP 402"/>
    <s v="ZTE-COLVATEL"/>
    <s v=" la sonda no pasa del nap a la caja de paso que comunica la fachada del cliente"/>
    <s v="CALANDAIMA"/>
    <s v="SOLUCIONADA"/>
    <n v="1502"/>
    <s v="Orden Solucionada_x000a_HILADO_x000a_MDM-FIBRA-020024260_x000a_Se realiza validacion y sondeo desde caja tv, el apto cuenta con canaleta en la parte de atras, se empieza sondeo desde caja de paso en zona común llegando a caja de paso hasta llegar a la nap asignada. En predio se deja en sitio indicado. No se generan daños ni pérdidas durante la instalacion. Tecnico luis hoyos"/>
    <s v="N/A"/>
    <s v="N/A"/>
    <s v="N/A"/>
    <d v="2026-08-10T00:00:00"/>
    <x v="7"/>
    <x v="0"/>
    <s v="CARRO"/>
  </r>
  <r>
    <s v="AGOSTO"/>
    <s v="MDM-FIBRA-020018822"/>
    <x v="0"/>
    <x v="0"/>
    <s v="CC-80251607"/>
    <s v="WILSON ORLANDO ACOSTA RUGELES"/>
    <s v="DG 82C 75A 65 AP 410"/>
    <s v="ZTE-COLVATEL"/>
    <s v="realiza validación, encuentra obstrucción entre cajas de paso, toca cablear de pto hasta nap."/>
    <s v="BACHUE"/>
    <s v="SOLUCIONADA"/>
    <n v="1502"/>
    <s v="Orden Solucionada_x000a_HILADO_x000a_MDM-FIBRA-020018822_x000a_Se llega a predio, se habla con el usuario el cual autoriza realizar validación, se evidencia ducteria obstruida de bloque hacía área común y en cajas peatonales. Se realiza hilado desde la NAP PRECONECTORIZADA que queda enfrente del bloque 6, se pasa a bloque 7, se pasa por otras cajas desde bloque 7 a bloque 5. se sube piso a piso hasta el 4,  ingresa a predio por toma principal de la sala y se deja en punto requerido por el cliente. No se generan daños ni pérdidas durante la instalacion. Tecnico cesar hernandez"/>
    <s v="N/A"/>
    <s v="N/A"/>
    <s v="N/A"/>
    <d v="2026-08-10T00:00:00"/>
    <x v="7"/>
    <x v="1"/>
    <s v="CARRO"/>
  </r>
  <r>
    <s v="AGOSTO"/>
    <s v="MDM-FIBRA-019987421"/>
    <x v="0"/>
    <x v="0"/>
    <s v="CC-1031179140"/>
    <s v="CAMILA NOGUERA RIVAS"/>
    <s v="KR 92 71 41 SUR CA 182"/>
    <s v="ZTE-CONECTAR"/>
    <s v="Ducteria obstruida tapada con barro se requiere apoyo de cuadrilla especializada"/>
    <s v="HOLANDA"/>
    <s v="SOLUCIONADA"/>
    <n v="1502"/>
    <s v="Orden Solucionada_x000a_HILADO_x000a_MDM-FIBRA-019987421_x000a_Se ingresa al cliente, se realiza validación y sondeo, encontrando viabilidad con cambio de NAP =N2HO11_F33. Se realiza hilado desde el punto requerido por el cliente saliendo a la caja de distribución en anden, subiendo al strip telefónico y bajando a la caja de distribución en anden y posteriormente llegando a la caja CPD donde se encuentra la nap asignada. El técnico instalador debe traer F.O preconectarizada de 50 mts. No se generan daños ni pérdidas durante la instalacion. Tecnico Fredy corredor"/>
    <s v="N/A"/>
    <s v="N/A"/>
    <s v="N/A"/>
    <d v="2026-08-10T00:00:00"/>
    <x v="7"/>
    <x v="4"/>
    <s v="CARRO"/>
  </r>
  <r>
    <s v="AGOSTO"/>
    <s v="MDM-FIBRA-020028502"/>
    <x v="0"/>
    <x v="0"/>
    <s v="CC-52853990"/>
    <s v="JOHANNA MILENA RODRIGUEZ CASTILLO"/>
    <s v="CL 7 94 78 CA 236"/>
    <s v="ZTE-COLVATEL"/>
    <s v="obstrucción entre cámaras de paso sonda avanza aproximadamente 6 m y tranca cables de guía tampoco"/>
    <s v="FONTIBON"/>
    <s v="APLAZAMIENTO"/>
    <n v="1502"/>
    <s v="Aplazamiento_x000a_MDM-FIBRA-020028502_x000a_cuadrilla en predio, cliente indica que no puede recibir el dia de hoy, solicita reprogramar para el dia 12-08 en am"/>
    <s v="N/A"/>
    <s v="N/A"/>
    <s v="N/A"/>
    <d v="2026-08-06T00:00:00"/>
    <x v="7"/>
    <x v="3"/>
    <s v="CARRO"/>
  </r>
  <r>
    <s v="AGOSTO"/>
    <s v="MDM-FIBRA-020032379"/>
    <x v="0"/>
    <x v="0"/>
    <s v="CC-1031809788"/>
    <s v="ANDRES JULIAN LEON TUNJUELO"/>
    <s v="KR 97F 34A 30 SUR ET 1 IN 21 AP 401"/>
    <s v="ZTE-COLVATEL"/>
    <s v="Escalar orden ya que no hay paso de la cámara del NAP hasta el bloque"/>
    <s v="CALANDAIMA"/>
    <s v="NO VIABLE"/>
    <n v="1502"/>
    <s v="Orden No viable_x000a_MDM-FIBRA-020032379_x000a_Se realiza validacion y sondeo desde caja fachada, apartamento cuenta con canaletas en la parte izquierda de la torre 21 , sonda ingresa 5mts y no avanza más, se envía sonda desde caja donde se encuentra la nap asignada, ingresa misma cantidad y tranca,  cable coaxial existe no se mueve. No se generan daños ni pérdidas durante la validacion. autoriza supervisor Yeison martinez."/>
    <s v="N/A"/>
    <s v="N/A"/>
    <s v="N/A"/>
    <d v="2026-08-10T00:00:00"/>
    <x v="7"/>
    <x v="0"/>
    <s v="CARRO"/>
  </r>
  <r>
    <s v="AGOSTO"/>
    <s v="MDM-FIBRA-020042477"/>
    <x v="0"/>
    <x v="0"/>
    <s v="CC-1022350790"/>
    <s v="JENNY PAOLA OSORIO REYES"/>
    <s v="KR 90A 45A 05 SUR CA 12"/>
    <s v="ZTE-COLVATEL"/>
    <s v="Escalar orden ya que no pasa la sonda entre cajas de paso "/>
    <s v="HOLANDA"/>
    <s v="SOLUCIONADA"/>
    <n v="1502"/>
    <s v="Orden Solucionada_x000a_MDM-FIBRA-020042477_x000a_Se ingresa al cliente, se validan tomas telefónicas y caja de distribución en anden, se realiza sondeo de ductos tramos largos. Se realiza tendido de fibra óptica desde el punto requerido por el cliente saliendo a la caja de distribución en anden y subiendo al strip telefónico y llegando a la caja CPSR donde se encuentra la nap asignada. Se gastan 30 MTS de F.O de baja fricción. No se generan daños ni pérdidas durante la instalacion. Tecnico fredy corredor"/>
    <n v="30"/>
    <s v="N/A"/>
    <s v="N/A"/>
    <d v="2026-08-10T00:00:00"/>
    <x v="7"/>
    <x v="4"/>
    <s v="CARRO"/>
  </r>
  <r>
    <s v="AGOSTO"/>
    <s v="MDM-FIBRA-019987305"/>
    <x v="1"/>
    <x v="1"/>
    <s v="CC-1140880469"/>
    <s v="SERGIO ANDRES GOMEZ LUQUE"/>
    <s v="KR 7 62 43 AP 501"/>
    <s v="ZTE-NETWORKING"/>
    <s v=" se llega a predio se valida ingreso por tomas telefónicas y de coaxial el cual no puedo ingresar la sonda ingresa pero no llega ala caja de paso se encuentra una obstrucion como a 10 metros"/>
    <s v="CHICO"/>
    <s v="SOLUCIONADA"/>
    <n v="1502"/>
    <s v="solucionada por contratista//no aplica visita de cuadrilla"/>
    <s v="N/A"/>
    <s v="N/A"/>
    <s v="N/A"/>
    <d v="2026-08-06T00:00:00"/>
    <x v="7"/>
    <x v="2"/>
    <s v="MOTO"/>
  </r>
  <r>
    <s v="AGOSTO"/>
    <s v="MDM-FIBRA-020028482"/>
    <x v="1"/>
    <x v="1"/>
    <s v="CC-1004083508"/>
    <s v="NATALIA ARTUNDUAGA HURTADO"/>
    <s v="KR 6 6D 50 IN 4 AP 501"/>
    <s v="ZTE-BFTEL"/>
    <s v="en la viabilidad que se evidenció es necesario llevar el drop unitario hasta la nap,pero la guía del coaxial no se mueve al halar se mueven con una fibra,no se puede halar duro se puede dañar la fibra"/>
    <s v="SANTA INES"/>
    <s v="NO VIABLE"/>
    <n v="1502"/>
    <s v="Orden No viable_x000a_MDM-FIBRA-020028482_x000a_Se realizó validación de ruta para tendido, evidenciamos que no hay caja de paso hay un vacío por donde  ingresaron un coaxial que viene del sótano pero no se mueve,  el cable está amarrado en otro piso, al enviar la sonda no se logro pasar,  hablamos con todero y este dijo que no se puede pasar por qué sellaron la bajante por lo tanto no hay ingreso para el drop .se válida toma de teléfono pero está va compartida entre pisos no hay más rutas por donde bajar el drop al sótano. No se generan daños ni pérdidas durante la validacion. autoriza supervisor Yeison martinez."/>
    <s v="N/A"/>
    <s v="N/A"/>
    <s v="N/A"/>
    <d v="2026-08-10T00:00:00"/>
    <x v="7"/>
    <x v="2"/>
    <s v="MOTO"/>
  </r>
  <r>
    <s v="AGOSTO"/>
    <s v="MDM-FIBRA-020047273"/>
    <x v="0"/>
    <x v="0"/>
    <s v="CC-52520294"/>
    <s v="OLGA LUCIA GONZALEZ GONZALEZ"/>
    <s v="DG 61 SUR 20B 36 CA 161"/>
    <s v="ZTE-FODEN"/>
    <s v="Se evidencia obstrucción de la tubería de la casa a la caja de paso "/>
    <s v="MUZU"/>
    <s v="SOLUCIONADA"/>
    <n v="1502"/>
    <s v="Orden Solucionada_x000a_MDM-FIBRA-020047273_x000a_Se ingresa al cliente, se validan tomas telefónicas y caja de distribución en fachada, se encuentra un cable obstruyendo el ducto se logra retirar. Se realiza tendido de fibra óptica desde el punto requerido por el cliente saliendo a la caja de distribución en fachada y posteriormente llegando a la caja de distribución en anden donde se encuentra la nap asignada. Se gastan 20 MTS de F.O de baja fricción. No se generan daños ni pérdidas durante la instalacion. Tecnico fredy corredor"/>
    <n v="20"/>
    <s v="N/A"/>
    <s v="N/A"/>
    <d v="2026-08-10T00:00:00"/>
    <x v="7"/>
    <x v="4"/>
    <s v="CARRO"/>
  </r>
  <r>
    <s v="AGOSTO"/>
    <s v="MDM-FIBRA-020040192"/>
    <x v="0"/>
    <x v="0"/>
    <s v="CC-1015421150"/>
    <s v="KAREN JULIETH TOLOSA MORENO"/>
    <s v="KR 103D 86 55 IN 41"/>
    <s v="ZTE-COLVATEL"/>
    <s v="realiza validacion, encuentra obstrucción entre cajas de paso a cámaras, toca cablear de pto hasta nap."/>
    <s v="BACHUE"/>
    <s v="SOLUCIONADA"/>
    <n v="1502"/>
    <s v="Orden Solucionada_x000a_MDM-FIBRA 020040192_x000a_Se llega a predio, se habla con el usuario el cual autoriza realizar validación. se evidencia ducteria obstruida de predio hacia afuera y en cajas de paso peatonal. se aplica jabón líquido, agua caliente y por último se realiza pesca. se tiende fibra desde la nap, pasando por 2 cajas de paso peatonal (canalizado) y 1 mural.  ingresa a predio por toma principal de piso 1, sube a alcoba en piso 2 y se deja en punto requerido. Se gastan 60 mts de baja fricción. No se generan daños ni pérdidas durante la instalacion. Tecnico cesar hernandez"/>
    <n v="60"/>
    <s v="N/A"/>
    <s v="N/A"/>
    <d v="2026-08-10T00:00:00"/>
    <x v="7"/>
    <x v="1"/>
    <s v="CARRO"/>
  </r>
  <r>
    <s v="AGOSTO"/>
    <s v="MDM-FIBRA-019878851"/>
    <x v="0"/>
    <x v="0"/>
    <s v="CL 2 93D 69 TO 8 AP 102"/>
    <s v="FERNANDA YERALDIN DIAZ BOHORQUEZ"/>
    <s v="CL 2 93D 69 TO 8 AP 102"/>
    <s v="ZTE-COLVATEL"/>
    <s v="Escalar orden ya que no pasa la Sonda para realizar el tendido desde caja de distribución de piso hasta el nap"/>
    <s v="CALANDAIMA"/>
    <s v="SOLUCIONADA"/>
    <n v="1502"/>
    <s v="*Orden Solucionada*_x000a_*HILADO*_x000a_MDM-FIBRA-019878851_x000a_Se llega a predio, se habla con el usuario, se realiza validación, se busca la ruta desde la nap asignada, se realiza hilado hasta el  punto requerido por el cliente. No se generan daños ni pérdidas durante la instalacion. Tecnico jesus silva_x000a_"/>
    <s v="N/A"/>
    <s v="N/A"/>
    <s v="N/A"/>
    <d v="2026-08-10T00:00:00"/>
    <x v="7"/>
    <x v="3"/>
    <s v="CARRO"/>
  </r>
  <r>
    <s v="AGOSTO"/>
    <s v="MDM-FIBRA-020041836"/>
    <x v="2"/>
    <x v="2"/>
    <s v="CC-1133775525"/>
    <s v="LUIS MARIANO IBAÑEZ MARTINEZ"/>
    <s v="KR 87 BIS 51 56 SUR"/>
    <s v="ZTE-COLVATEL"/>
    <s v="Se presenta obstrucción en la duquería que comunica del apartamento de la parte de atrás del predio hasta la fachada se le explica al cliente el manejo que se le debe dar con el dueño de la casa para poder realizar la instalación"/>
    <s v="HOLANDA"/>
    <s v="NO VIABLE"/>
    <n v="1502"/>
    <s v="No viable/Se presenta obstrucción en la duquería que comunica del apartamento de la parte de atrás del predio hasta la fachada se le explica al cliente el manejo que se le debe dar con el dueño de la casa para poder realizar la instalación"/>
    <s v="N/A"/>
    <s v="N/A"/>
    <s v="N/A"/>
    <d v="2026-08-10T00:00:00"/>
    <x v="7"/>
    <x v="5"/>
    <s v="N/A"/>
  </r>
  <r>
    <s v="AGOSTO"/>
    <s v="MDM-FIBRA-020028550"/>
    <x v="2"/>
    <x v="2"/>
    <s v="NIT-900748517"/>
    <s v="ELPERITO.COM SAS"/>
    <s v="AC 9 50 15 LC 313"/>
    <s v="ZTE-BFTEL"/>
    <s v="Se evidencia que para cruzar la fibra de un lado a otro se debe utilizar una guia la cual el centro comercial dispuso para no incurrir en un accidente al momento de pasar las fibras, pero la guia esta atorada en la mitad del tramo la cual no hay acceso, se intenta colocar la escalera doble paso pero no alcanza, no cuenta con tuberia para poder sondear, cliente va hablar con el centro comercial para que dejen la guia para poder pasar la fibra y cuando la tengan se comunican"/>
    <s v="CUNI"/>
    <s v="NO VIABLE"/>
    <n v="1502"/>
    <s v="No viable//Se evidencia que para cruzar la fibra de un lado a otro se debe utilizar una guia la cual el centro comercial dispuso para no incurrir en un accidente al momento de pasar las fibras, pero la guia esta atorada en la mitad del tramo la cual no hay acceso, se intenta colocar la escalera doble paso pero no alcanza, no cuenta con tuberia para poder sondear, cliente va hablar con el centro comercial para que dejen la guia para poder pasar la fibra y cuando la tengan se comunican"/>
    <s v="N/A"/>
    <s v="N/A"/>
    <s v="N/A"/>
    <d v="2026-08-10T00:00:00"/>
    <x v="7"/>
    <x v="5"/>
    <s v="N/A"/>
  </r>
  <r>
    <s v="AGOSTO"/>
    <s v="MDM-FIBRA-020030363"/>
    <x v="0"/>
    <x v="0"/>
    <s v="NIT-901986865"/>
    <s v="INVERSIONES CARBUMODA S.A.S"/>
    <s v="AC 13 60 77 BG"/>
    <s v="ZTE-BFTEL"/>
    <s v="ducteria obstruida no pasa sonda, obstruccion"/>
    <s v="CUNI"/>
    <s v="SOLUCIONADA"/>
    <n v="1502"/>
    <s v="Orden Solucionada_x000a_MDM-FIBRA-020030363_x000a_Se llega a predio, se realiza validación y se busca la ruta desde la nap asignada hasta el predio; se tiende fibra desde la nap,  pasa por ductería existente,  Se deja fibra en punta en la nap y de alli hasta donde se va a dejar el punto. Se gastan 150 mts fibra indoor outdoor. 2 herrajes. No se generan daños ni pérdidas durante la instalacion. Tecnico jesus silva"/>
    <s v="N/A"/>
    <n v="150"/>
    <n v="2"/>
    <d v="2026-08-10T00:00:00"/>
    <x v="7"/>
    <x v="3"/>
    <s v="CARRO"/>
  </r>
  <r>
    <s v="AGOSTO"/>
    <s v="MDM-FIBRA-020047515"/>
    <x v="2"/>
    <x v="2"/>
    <s v="CC-1007701900"/>
    <s v="BRAYAN SNADER GALEANO LARA"/>
    <s v="KR 100 50B 45 SUR TO 21 IN 1 AP 104"/>
    <s v="ZTE-CONECTAR"/>
    <s v=" valida en predio, pero no se cuenta con viabilidad del predio a la nap, no se cuenta con dutos para pasar la fibra"/>
    <s v="HOLANDA"/>
    <s v="NO VIABLE"/>
    <n v="1502"/>
    <s v="No viable/ valida en predio, pero no se cuenta con viabilidad del predio a la nap, no se cuenta con dutos para pasar la fibra"/>
    <s v="N/A"/>
    <s v="N/A"/>
    <s v="N/A"/>
    <d v="2026-08-11T00:00:00"/>
    <x v="7"/>
    <x v="5"/>
    <s v="N/A"/>
  </r>
  <r>
    <s v="AGOSTO"/>
    <s v="MDM-FIBRA-020005430"/>
    <x v="2"/>
    <x v="2"/>
    <s v="CC-1001181225"/>
    <s v="ANGELA TATIANA GUZMAN GALINDO"/>
    <s v="KR 12I 33 57 SUR"/>
    <s v="ZTE-BFTEL"/>
    <s v="La asignada se encuentra a más de 250 metros que es lo autorizado por interventoría de ETB, se vaidan nap s cercanas N1SI14_H2  estan copadas"/>
    <s v="SANTA INES"/>
    <s v="NO VIABLE"/>
    <n v="1502"/>
    <s v="No viable// La asignada se encuentra a más de 250 metros que es lo autorizado por interventoría de ETB, se vaidan nap s cercanas N1SI14_H2  estan copadas"/>
    <s v="N/A"/>
    <s v="N/A"/>
    <s v="N/A"/>
    <d v="2026-08-11T00:00:00"/>
    <x v="7"/>
    <x v="5"/>
    <s v="N/A"/>
  </r>
  <r>
    <s v="AGOSTO"/>
    <s v="MDM-FIBRA-019945284"/>
    <x v="2"/>
    <x v="2"/>
    <s v="CL 23 13A 37 PI 3"/>
    <s v="CRUZ SOLSIRE GUTIERREZ PACHECO"/>
    <s v="CL 23 13A 37 PI 3"/>
    <s v="ZTE-BFTEL"/>
    <s v="Orden no se puede realizar ya que la fibra saldría de una N2 que se encuentra en cámara y no tenemos una bajante que nos comunique por dónde se encuentra el predio no hay más opciones par enviar la fibra"/>
    <s v="CUNI"/>
    <s v="NO VIABLE"/>
    <n v="1502"/>
    <s v="No viable//Orden no se puede realizar ya que la fibra saldría de una N2 que se encuentra en cámara y no tenemos una bajante que nos comunique por dónde se encuentra el predio no hay más opciones par enviar la fibra"/>
    <s v="N/A"/>
    <s v="N/A"/>
    <s v="N/A"/>
    <d v="2026-08-11T00:00:00"/>
    <x v="7"/>
    <x v="5"/>
    <s v="N/A"/>
  </r>
  <r>
    <s v="AGOSTO"/>
    <s v="MDM-FIBRA-019946600"/>
    <x v="2"/>
    <x v="2"/>
    <s v="CL 23 13A 37"/>
    <s v="DEYLIBETH CHIQUINQUIRA GARCIA QUINTERO"/>
    <s v="CL 23 13A 37"/>
    <s v="ZTE-BFTEL"/>
    <s v="Orden no se puede realizar ya que la fibra saldría de una N2 que se encuentra en cámara y no tenemos una bajante que nos comunique por dónde se encuentra el predio no hay más opciones par enviar la fibra"/>
    <s v="CUNI"/>
    <s v="NO VIABLE"/>
    <n v="1502"/>
    <s v="No viable//Orden no se puede realizar ya que la fibra saldría de una N2 que se encuentra en cámara y no tenemos una bajante que nos comunique por dónde se encuentra el predio no hay más opciones par enviar la fibra"/>
    <s v="N/A"/>
    <s v="N/A"/>
    <s v="N/A"/>
    <d v="2026-08-11T00:00:00"/>
    <x v="7"/>
    <x v="5"/>
    <s v="N/A"/>
  </r>
  <r>
    <s v="AGOSTO"/>
    <s v="MDM-FIBRA-020050199"/>
    <x v="0"/>
    <x v="0"/>
    <s v="CC-1004381319"/>
    <s v="JAVIER HERNESTO ALONSO JUVINAO"/>
    <s v="KR 85A 44 09 SUR IN 10 AP 339"/>
    <s v="ZTE-COLVATEL"/>
    <s v="obstrucción entre caja de paso interna a caja de paso en pasillo sonda avanza aproximadamente 4 metros"/>
    <s v="HOLANDA"/>
    <s v="SOLUCIONADA"/>
    <n v="1502"/>
    <s v="Orden Solucionada_x000a_MDM-FIBRA-020050199_x000a_Se ingresa al cliente, se validan tomas telefónicas y caja de distribución en pasillo, se realiza sondeo de ductos con dificultad para pasar la sonda. Se realiza tendido de fibra óptica desde el punto requerido por el cliente saliendo a la caja de distribución en pasillo donde se encuentra la CP asignada. Se gastan 20 MTS de F.O de baja fricción. No se generan daños ni pérdidas durante la instalacion. Tecnico fredy corredor"/>
    <n v="20"/>
    <s v="N/A"/>
    <s v="N/A"/>
    <d v="2026-08-10T00:00:00"/>
    <x v="8"/>
    <x v="4"/>
    <s v="CARRO"/>
  </r>
  <r>
    <s v="AGOSTO"/>
    <s v="MDM-FIBRA-020028502"/>
    <x v="0"/>
    <x v="0"/>
    <s v="CC-52853990"/>
    <s v="JOHANNA MILENA RODRIGUEZ CASTILLO"/>
    <s v="CL 7 94 78 CA 236"/>
    <s v="ZTE-COLVATEL"/>
    <s v="obstrucción entre cámaras de paso sonda avanza aproximadamente 6 m y tranca cables de guía tampoco"/>
    <s v="FONTIBON"/>
    <s v="NO VIABLE"/>
    <n v="1502"/>
    <s v="MDM-FIBRA-020028502_x000a_NO CONTACTADO_x000a_Cuadrilla en predio, se marca a contacto sin repsuesta, seguridad indica que no responde."/>
    <s v="N/A"/>
    <s v="N/A"/>
    <s v="N/A"/>
    <d v="2026-08-06T00:00:00"/>
    <x v="8"/>
    <x v="3"/>
    <s v="CARRO"/>
  </r>
  <r>
    <s v="AGOSTO"/>
    <s v="MDM-FIBRA-020017872"/>
    <x v="0"/>
    <x v="0"/>
    <s v="CC-42202402"/>
    <s v="ROSALBA MARIA MARTINEZ RAMIREZ"/>
    <s v="CL 128B 121C 24 BQ 136 AP 401"/>
    <s v="ZTE-NETWORKING"/>
    <s v=" Se realizó el intento de pasar la sonda guía a través del ducto de entrada para ingresar el cable de fibra óptica al departamento.* La sonda se bloquea/obstruye en el trayecto"/>
    <s v="SUBA"/>
    <s v="SOLUCIONADA"/>
    <n v="1502"/>
    <s v="*Orden Solucionada*_x000a_MDM-FIBRA-020017872_x000a_Se llega a predio, se habla con el usuario el cual autoriza realizar validación. No se encuentra comunicación de predio a cajas de paso en pasillo. Se busca ruta alterna x fachada. Se extiende fibra desde la *NAP PRECONECTORIZADA*, pasando por  2 cajas de paso peatonal (Canalizado) y 1 mural. Se sube por canaleta existente hasta piso 4, se ingresa por perforación realizada en sala y se deja en punto requerido por el cliente.No se generan daños ni pérdidas durante la instalacion. Tecnico cesar hernandez"/>
    <s v="N/A"/>
    <s v="N/A"/>
    <s v="N/A"/>
    <d v="2026-08-08T00:00:00"/>
    <x v="8"/>
    <x v="1"/>
    <s v="CARRO"/>
  </r>
  <r>
    <s v="AGOSTO"/>
    <s v="MDM-FIBRA-020005829"/>
    <x v="0"/>
    <x v="0"/>
    <s v="CE-426835"/>
    <s v="VIGO JESUS ARAUJO NAVAS"/>
    <s v="KR 68G 9C 97 TO 3 AP 505"/>
    <s v="ZTE-FODEN"/>
    <s v="se llega al predio se realiza cableado pero no pasa el cable de la caja de paso al apt de cliente "/>
    <s v="MUZU"/>
    <s v="NO VIABLE"/>
    <n v="1502"/>
    <s v="MDM-FIBRA-020005829_x000a_NO CONTACTADO_x000a_Cuadrilla en predio, se marca a contactos sin repsuesta, 3008252608 buzon de voz  3113235081 timbra no responde// seguridad indica que no responde."/>
    <s v="N/A"/>
    <s v="N/A"/>
    <s v="N/A"/>
    <d v="2026-08-05T00:00:00"/>
    <x v="8"/>
    <x v="0"/>
    <s v="CARRO"/>
  </r>
  <r>
    <s v="AGOSTO"/>
    <s v="MDM-FIBRA-020013724"/>
    <x v="0"/>
    <x v="0"/>
    <s v="CC-1033782393"/>
    <s v="EDILSON FABIAN VERGARA FONSECA"/>
    <s v="DG 62 SUR 20A 42 CA 78"/>
    <s v="ZTE-FODEN"/>
    <s v=" tubería obstruida de strip telefónico a caja de paso"/>
    <s v="MUZU"/>
    <s v="SOLUCIONADA"/>
    <n v="1502"/>
    <s v="Orden Solucionada_x000a_MDM-FIBRA-020013724_x000a_Se realiza validación y sondeo desde caja telefonica, pasa hacia caja fachada, se  llega hasta caja de paso, sigue por 3 cajas más antes de llegar a la nap asignada. En predio se deja donde es requerido. Se gastan 75 Mts Baja Friccion. No se generan daños ni pérdidas durante la instalacion. Tecnico luis hoyos"/>
    <n v="75"/>
    <s v="N/A"/>
    <s v="N/A"/>
    <d v="2026-08-11T00:00:00"/>
    <x v="8"/>
    <x v="0"/>
    <s v="CARRO"/>
  </r>
  <r>
    <s v="AGOSTO"/>
    <s v="MDM-FIBRA-020057622"/>
    <x v="0"/>
    <x v="0"/>
    <s v="CC-80032288"/>
    <s v="FREDY YESID GONZALEZ ESTUPIÑAN"/>
    <s v="KR 110A 88 30"/>
    <s v="ZTE-COLVATEL"/>
    <s v="realiza validación, encuentra obstrucción entre cajas de paso, toca cablear de pto hasta nap."/>
    <s v="BACHUE"/>
    <s v="APLAZAMIENTO"/>
    <n v="1502"/>
    <s v="Aplazamiento_x000a_MDM-FIBRA-020057622_x000a_Por horairo de administracion no permiten mas labores, cliente solicita continuar el dia 14-08 en am"/>
    <s v="N/A"/>
    <s v="N/A"/>
    <s v="N/A"/>
    <d v="2026-08-11T00:00:00"/>
    <x v="8"/>
    <x v="1"/>
    <s v="CARRO"/>
  </r>
  <r>
    <s v="AGOSTO"/>
    <s v="MDM-FIBRA-020048808"/>
    <x v="0"/>
    <x v="0"/>
    <s v="CC-79368395"/>
    <s v="PEDRO MIGUEL PRIETO SUAREZ"/>
    <s v="CL 57Z SUR 75D 67 CA 178"/>
    <s v="ZTE-FODEN"/>
    <s v="Ducteria  en caja de paso hacia el predio del cliente "/>
    <s v="HOLANDA"/>
    <s v="SOLUCIONADA"/>
    <n v="1502"/>
    <s v="Orden Solucionada_x000a_MDM-FIBRA-020048808_x000a_Se ingresa al cliente se validan tomas telefónicas y cajas de distribución en anden, se realiza sondeo de ductos con dificultad ya que se encuentra una caja de pasa tapada por remodelaciones en anden, se logra pasar la sonda utilizando métodos de pesca y se valida ruta. se realiza tendido de fibra óptica desde el punto requerido por el cliente saliendo a la caja de distribución en anden, subiendo al strip telefónico,  llegando a la caja CPS donde se encuentra la nap asignada. Se gastan 70 mts de F.O de baja fricción. No se generan daños ni pérdidas durante la instalacion. Tecnico fredy corredor"/>
    <n v="70"/>
    <s v="N/A"/>
    <s v="N/A"/>
    <d v="2026-08-11T00:00:00"/>
    <x v="8"/>
    <x v="4"/>
    <s v="CARRO"/>
  </r>
  <r>
    <s v="AGOSTO"/>
    <s v="MDM-FIBRA-020053643"/>
    <x v="0"/>
    <x v="0"/>
    <s v="CC-80857002"/>
    <s v="DIEGO ALEJANDRO HURTADO MORENO"/>
    <s v="CL 8C 92 72 CS 76"/>
    <s v="ZTE-COLVATEL"/>
    <s v="obstrucción entre tuberías de paso de predio a caja de comunicación para hacer el respectivo ingreso del cableado"/>
    <s v="FONTIBON"/>
    <s v="SOLUCIONADA"/>
    <n v="1501"/>
    <s v="Orden Solucionada_x000a_MDM-FIBRA-020053643_x000a_Se llega a predio, se realiza validacion encontrando viabilidad con cambio de NAP= N2FO05_F21. se tiende fibra desde la nap hasta el  punto requerido por el cliente. Se gastan 130 mts de drop de baja fricción. No se generan daños ni pérdidas durante la instalacion. Tecnico jesus silva"/>
    <n v="130"/>
    <s v="N/A"/>
    <s v="N/A"/>
    <d v="2026-08-11T00:00:00"/>
    <x v="8"/>
    <x v="3"/>
    <s v="CARRO"/>
  </r>
  <r>
    <s v="AGOSTO"/>
    <s v="MDM-FIBRA-020026585"/>
    <x v="0"/>
    <x v="0"/>
    <s v="CC-79815572"/>
    <s v="JOSE HERNAN PEDRAZA BELLO"/>
    <s v="CL 83 94 21SUR TO 4 AP 204"/>
    <s v="ZTE-CONECTAR"/>
    <s v="Ducteria obstruida no pasa sonda se requiere cuadrilla"/>
    <s v="HOLANDA"/>
    <s v="SOLUCIONADA"/>
    <n v="1502"/>
    <s v="Orden Solucionada_x000a_MDM-FIBRA-020026585_x000a_Se ingresa al cliente, se validan tomas telefónicas y caja de distribución en pasillo, se realiza sondeo de ductos con dificultad para pasar la sonda por ducto saturado y piedras dentro se logra pasar la sonda utilizando suavizantes y métodos de pesca. Material suministrado por técnico instalador en sitio. No se generan daños ni pérdidas durante la instalacion. Tecnico Fredy corredor"/>
    <s v="N/A"/>
    <s v="N/A"/>
    <s v="N/A"/>
    <d v="2026-08-11T00:00:00"/>
    <x v="8"/>
    <x v="4"/>
    <s v="CARRO"/>
  </r>
  <r>
    <s v="AGOSTO"/>
    <s v="MDM-FIBRA-020064086"/>
    <x v="1"/>
    <x v="1"/>
    <s v="CC-51742907"/>
    <s v="HARLEN CRISTINA LEAL CARRILLO"/>
    <s v="KR 17 118 32 IN 1 AP 403"/>
    <s v="ZTE-NETWORKING"/>
    <s v="se valida ruta de acceso a predio presenta obstrucción,  cliente no deja tomar el otro ducto"/>
    <s v="CHICO"/>
    <s v="SOLUCIONADA"/>
    <n v="1502"/>
    <s v="Orden Solucionada_x000a_MDM-FIBRA-020064086_x000a_Se instalan 19 MTRS de drop de baja fricción desde la caja de paso por ducto de telefonía enviamos el drop hasta la toma principal ubicada detrás de la puerta principal y luego por ducto de teléfono enviamos el drop hasta la toma de la sala donde usuaria solicita el servicio. No se generan daños ni pérdidas durante la instalacion. Tecnico edwin diaz"/>
    <n v="19"/>
    <s v="N/A"/>
    <s v="N/A"/>
    <d v="2026-08-11T00:00:00"/>
    <x v="8"/>
    <x v="2"/>
    <s v="MOTO"/>
  </r>
  <r>
    <s v="AGOSTO"/>
    <s v="MDM-FIBRA-020044494"/>
    <x v="0"/>
    <x v="0"/>
    <s v="CC-79474180"/>
    <s v="MARIO FERNANDO BOHORQUEZ INDABURO"/>
    <s v="KR 87B 19A 21 IN 5 AP 601"/>
    <s v="ZTE-COLVATEL"/>
    <s v="obstrucción entre cajas de paso para llegar con el tendido hasta la nap no admite administración cables por fuera"/>
    <s v="FONTIBON"/>
    <s v="SOLUCIONADA"/>
    <n v="1502"/>
    <s v="Orden solucionada_x000a_MDM-FIBRA-020044494_x000a_Se llega a predio, se realiza validación, se busca la ruta desde la nap asignada hasta el predio, dejando en sitio indicado por cliente. Se gastan  70 mts de drop de baja fricción. No se generan daños ni perdidas durante la instalación. Tecnico jesus silva"/>
    <n v="70"/>
    <s v="N/A"/>
    <s v="N/A"/>
    <d v="2026-08-11T00:00:00"/>
    <x v="8"/>
    <x v="3"/>
    <s v="CARRO"/>
  </r>
  <r>
    <s v="AGOSTO"/>
    <s v="MDM-FIBRA-020047971"/>
    <x v="0"/>
    <x v="0"/>
    <s v="CC-1233888432"/>
    <s v="YESICA LILIANA HERNANDEZ RODRIGUEZ"/>
    <s v="CL 60A SUR 44 11 TO A IN 3 AP 303"/>
    <s v="ZTE-FODEN"/>
    <s v="Ducteria obstruida "/>
    <s v="MUZU"/>
    <s v="APLAZAMIENTO"/>
    <n v="1502"/>
    <s v="Aplazamiento_x000a_MDM-FIBRA-020047971_x000a_No se finalizan actividades, cliente indica que se le presento una urgencia, no puede seguir atendiendo, solicita reprogramar para el dia 13-08 en am"/>
    <s v="N/A"/>
    <s v="N/A"/>
    <s v="N/A"/>
    <d v="2026-08-11T00:00:00"/>
    <x v="8"/>
    <x v="0"/>
    <s v="CARRO"/>
  </r>
  <r>
    <s v="AGOSTO"/>
    <s v="MDM-FIBRA-020049670"/>
    <x v="1"/>
    <x v="1"/>
    <s v="CC-32402250"/>
    <s v="MARIA ELVIRA VALENZUELA PARDO"/>
    <s v="KR 6C 132 94 BQ 1 AP 301"/>
    <s v="ZTE-NETWORKING"/>
    <s v="Se valida obstrucción la toma principal hacia la caja de paso externa del apto no pasa la sonda mas de 4 metro "/>
    <s v="CHICO"/>
    <s v="CANCELADA"/>
    <n v="1502"/>
    <s v="Orden Cancelada_x000a_MDM-FIBRA-020049670_x000a_Cuadrilla en predio, se marca a contacto, cliente indica que decidio cancelar el servicio."/>
    <s v="N/A"/>
    <s v="N/A"/>
    <s v="N/A"/>
    <d v="2026-08-11T00:00:00"/>
    <x v="8"/>
    <x v="2"/>
    <s v="MOTO"/>
  </r>
  <r>
    <s v="AGOSTO"/>
    <s v="MDM-FIBRA-020042217"/>
    <x v="1"/>
    <x v="1"/>
    <s v="CC-1030627405"/>
    <s v="ANDREA CATALINA GONZALEZ GARCIA"/>
    <s v="CL 64 5 12 AP 303"/>
    <s v="ZTE-NETWORKING"/>
    <s v="obtruida la unica toma telefonuxa que tiene no pasa ni del apartamento ala caja de paso nu al contrario"/>
    <s v="CHICO"/>
    <s v="CANCELADA"/>
    <n v="1502"/>
    <s v="Orden Cancelada_x000a_MDM-FIBRA-020042217_x000a_Cuadrilla en predio se marca a contacto, cliente indica que cancelo el servicio, debido a que se va de viaje."/>
    <s v="N/A"/>
    <s v="N/A"/>
    <s v="N/A"/>
    <d v="2026-08-11T00:00:00"/>
    <x v="8"/>
    <x v="2"/>
    <s v="MOTO"/>
  </r>
  <r>
    <s v="AGOSTO"/>
    <s v="MDM-FIBRA-020041447"/>
    <x v="0"/>
    <x v="0"/>
    <s v="CC-1019044569"/>
    <s v="JULIAN DAVID RIVERA SANCHEZ"/>
    <s v="CL 154A 92 40 IN 7 AP 501"/>
    <s v="ZTE-NETWORKING"/>
    <s v="se valida ruta de acceso a predio presenta obstrucción se requiere cuadrilla de quiebtr"/>
    <s v="SUBA"/>
    <s v="SOLUCIONADA"/>
    <n v="1502"/>
    <s v="Orden Solucionada_x000a_MDM-FIBRA-020041447_x000a_Se llega a predio, se habla con el usuario el cual autoriza realizar validación. Se evidencia ducteria telefonica obstruida, se busca ruta x citofonia. Se tiende fibra desde la NAP que queda en frente del bloque,  sube piso a piso hasta el 5, se ingresa a apartamento por citofonia en cocina. Se figura por techo, se saca a sala figurandola por guardaescobas a llegar a la sala y se deja en punto requerido. Se gastan 70 mts de Baja Fricción. No se generan daños ni pérdidas durante la instalacion."/>
    <n v="70"/>
    <s v="N/A"/>
    <s v="N/A"/>
    <d v="2026-08-11T00:00:00"/>
    <x v="8"/>
    <x v="1"/>
    <s v="CARRO"/>
  </r>
  <r>
    <s v="AGOSTO"/>
    <s v="MDM-FIBRA-020042024"/>
    <x v="2"/>
    <x v="2"/>
    <s v="NIT-900510844"/>
    <s v="CENTRO DE EVALUACION DIAGNOSTICA Y REHABILITACION NEUROCOGNITIVA S A S"/>
    <s v="KR 35 13 13"/>
    <s v="ZTE-BFTEL"/>
    <s v="desde la nap asignada excede la distancia permitida por la interventoria de ETB el tendido tiene una longitud aproximadamente de 290 mts"/>
    <s v="CUNI"/>
    <s v="NO VIABLE"/>
    <n v="1501"/>
    <s v="No viable//desde la nap asignada excede la distancia permitida por la interventoria de ETB el tendido tiene una longitud aproximadamente de 290 mts"/>
    <s v="N/A"/>
    <s v="N/A"/>
    <s v="N/A"/>
    <d v="2026-08-12T00:00:00"/>
    <x v="8"/>
    <x v="5"/>
    <s v="N/A"/>
  </r>
  <r>
    <s v="AGOSTO"/>
    <s v="MDM-FIBRA-020051767"/>
    <x v="1"/>
    <x v="1"/>
    <s v="CC-1019137683"/>
    <s v="SANTIAGO SAAVEDRA MARTINEZ"/>
    <s v="KR 18C 118 22 AP 403"/>
    <s v="ZTE-NETWORKING"/>
    <s v="se valida ruta de acceso a predio presenta obstrucción"/>
    <s v="CHICO"/>
    <s v="SOLUCIONADA"/>
    <n v="1502"/>
    <s v="Orden Solucionada_x000a_MDM-FIBRA-020051767_x000a_Se instalan 41 MTRS de drop de baja fricción desde la Furukawa asignada ubicada en sótano al strip telefónico, pasamos por 2 cajas de paso en techo, subimos al piso 2 por ducto principal hasta el piso 4 , ingresamos por ducto de telefonía hasta la toma principal en el hall de las habitaciones .se válidan las demás tomas de teléfono y hay viabilidad para pasar un cable UTP hasta el estudio donde usuario solicita el punto periférico. No se generan daños ni pérdidas durante la instalacion. Tecnico edwin diaz"/>
    <n v="41"/>
    <s v="N/A"/>
    <s v="N/A"/>
    <d v="2026-08-12T00:00:00"/>
    <x v="8"/>
    <x v="2"/>
    <s v="MOTO"/>
  </r>
  <r>
    <s v="AGOSTO"/>
    <s v="MDM-FIBRA-019928616"/>
    <x v="0"/>
    <x v="0"/>
    <s v="CC-36642099"/>
    <s v="MARIA LOILANES HERRERA TALLES"/>
    <s v="KR 98 2 32 ET 2 IN 17 AP 301"/>
    <s v="ZTE-COLVATEL"/>
    <s v="Escalar orden ya que no pasa la Sonda desde el nap asignado a la caja de distribución"/>
    <s v="CALANDAIMA"/>
    <s v="SOLUCIONADA"/>
    <n v="1501"/>
    <s v="Orden Solucionada_x000a_HILADO_x000a_MDM-FIBRA-019928616_x000a_Se llega a predio, se habla con el usuario el cual autoriza realizar validación, se evidencia ducteria telefonica obstruida, se busca ruta por toma de tv. Se aplica jabón líquido, agua caliente y se realizan varias pescas. Se tiende hilado desde la NAP, pasando por caja de paso peatonal (Canalizado),  ingresa a bloque por caja de paso mural principal. Se lleva por 3 cajas mas de paso mural subiendola piso a piso hasta el 3. Se ingresa a predio por toma de tv en alcoba trasera y se deja en punto requerido por el cliente. No se generan daños ni pérdidas durante la instalacion. Tecnico Cesar hernandez"/>
    <s v="N/A"/>
    <s v="N/A"/>
    <s v="N/A"/>
    <d v="2026-08-11T00:00:00"/>
    <x v="9"/>
    <x v="1"/>
    <s v="CARRO"/>
  </r>
  <r>
    <s v="AGOSTO"/>
    <s v="MDM-FIBRA-020057230"/>
    <x v="0"/>
    <x v="0"/>
    <s v="CC-1022954891"/>
    <s v="YURLEY PAOLA ALVAREZ PINILLA"/>
    <s v="CL 71A SUR 82 20 TO 8 AP 402"/>
    <s v="ZTE-FODEN"/>
    <s v="nos encontramos realizando la respectiva instalación pero la sonda no apasa"/>
    <s v="HOLANDA"/>
    <s v="SOLUCIONADA"/>
    <n v="1502"/>
    <s v="*Orden Solucionada*_x000a_MDM-FIBRA-020057230_x000a_Se ingresa al cliente, se validan tomas telefónicas y caja de distribución en pasillo, se realiza sondeo de ductos se logra pasar la sonda. Se realiza el tendido de fibra óptica desde el punto requerido por el cliente saliendo a la caja de distribución en pasillo y posteriormente llegando al primer piso donde se encuentra la CT asignada. Se gastan  25 mts de F.O de baja fricción. No se generan daños ni pérdidas durante la instalacion. Tecnico fredy corredor"/>
    <n v="25"/>
    <s v="N/A"/>
    <s v="N/A"/>
    <d v="2026-08-12T00:00:00"/>
    <x v="9"/>
    <x v="4"/>
    <s v="CARRO"/>
  </r>
  <r>
    <s v="AGOSTO"/>
    <s v="MDM-FIBRA-020052988"/>
    <x v="0"/>
    <x v="0"/>
    <s v="CC-52544799"/>
    <s v="MARIA EVA VALBUENA SUA"/>
    <s v="CL 68A SUR 48D 26 AP 405"/>
    <s v="ZTE-FODEN"/>
    <s v="Ducteria obstruida "/>
    <s v="MUZU"/>
    <s v="NO VIABLE"/>
    <n v="1502"/>
    <s v="MDM-FIBRA-020052988_x000a_Cuadrilla en predio, se marca a contacto, cliente indica que despues se comunica, no sabe cuando pueda recibir."/>
    <s v="N/A"/>
    <s v="N/A"/>
    <s v="N/A"/>
    <d v="2026-08-12T00:00:00"/>
    <x v="9"/>
    <x v="0"/>
    <s v="CARRO"/>
  </r>
  <r>
    <s v="AGOSTO"/>
    <s v="MDM-FIBRA-020042519"/>
    <x v="1"/>
    <x v="1"/>
    <s v="CC-1235249710"/>
    <s v="KENNETH GARRETT PULIDO"/>
    <s v="CL 145 85 80 TO 4 AP 613"/>
    <s v="ZTE-NETWORKING"/>
    <s v="Por favor escalar 1502 se valida ruta de acceso a predio presenta obstrucción"/>
    <s v="SUBA"/>
    <s v="SOLUCIONADA"/>
    <n v="1502"/>
    <s v="Orden Solucionada_x000a_MDM-FIBRA-020042519_x000a_Se instalan 17 mtrs de drop de baja fricción desde la caja de paso ubicada en piso 5,  enviamos el drop por toma de TV hasta la toma de la sala .se evidencia cableado existente para punto periférico en alcoba principal, hay dos habitaciones sin tomas de TV y teléfono ambas tomas se encuentran con viabilidad para el servicio. No se generan daños ni pérdidas durante la instalacion. Tecnico edwin diaz"/>
    <n v="17"/>
    <s v="N/A"/>
    <s v="N/A"/>
    <d v="2026-08-12T00:00:00"/>
    <x v="9"/>
    <x v="2"/>
    <s v="MOTO"/>
  </r>
  <r>
    <s v="AGOSTO"/>
    <s v="MDM-FIBRA-020047971"/>
    <x v="0"/>
    <x v="0"/>
    <s v="CC-1233888432"/>
    <s v="YESICA LILIANA HERNANDEZ RODRIGUEZ"/>
    <s v="CL 60A SUR 44 11 TO A IN 3 AP 303"/>
    <s v="ZTE-FODEN"/>
    <s v="Ducteria obstruida "/>
    <s v="MUZU"/>
    <s v="APLAZAMIENTO"/>
    <n v="1502"/>
    <s v="Aplazamiento_x000a_MDM-FIBRA-020047971_x000a_Cuadrilla en predio, se marca a contacto, cliente solicita reprogramar para el dia 14-08 debido a una calamidad."/>
    <s v="N/A"/>
    <s v="N/A"/>
    <s v="N/A"/>
    <d v="2026-08-11T00:00:00"/>
    <x v="9"/>
    <x v="0"/>
    <s v="CARRO"/>
  </r>
  <r>
    <s v="AGOSTO"/>
    <s v="MDM-FIBRA-020041191"/>
    <x v="0"/>
    <x v="0"/>
    <s v="CC-1000787690"/>
    <s v="LINA MARIA CALDERON GUARACA"/>
    <s v="KR 87D 48 03 SUR CA 238"/>
    <s v="ZTE-COLVATEL"/>
    <s v="Escalar orden ya que no pasa la Sonda de la última caja de paso hasta el predio"/>
    <s v="HOLANDA"/>
    <s v="SOLUCIONADA"/>
    <n v="1502"/>
    <s v="Orden Solucionada_x000a_MDM-FIBRA-020041191_x000a_Se llega a predio, se habla con el usuario, se realiza validación y se busca la ruta desde la nap asignada hasta el predio, se pasa por ductería existente,  Se deja fibra  en punta en la nap y de alli hasta donde se va a dejar el punto.  Se gastan 80 mts de drop de baja fricción. No se generan daños ni pérdidas durante la instalacion. Tecnico Jesus silva"/>
    <n v="80"/>
    <s v="N/A"/>
    <s v="N/A"/>
    <d v="2026-08-11T00:00:00"/>
    <x v="9"/>
    <x v="3"/>
    <s v="CARRO"/>
  </r>
  <r>
    <s v="AGOSTO"/>
    <s v="MDM-FIBRA-020040252"/>
    <x v="0"/>
    <x v="0"/>
    <s v="CC-1013608099"/>
    <s v="SANDRA NATHALIE JIMENEZ TORRES"/>
    <s v="DG 49A BIS A SUR 13J 91 TO 3 AP 1825"/>
    <s v="ZTE-BFTEL"/>
    <s v="l ducto que comunica de la caja de paso a la toma principal se encuentra obstruido sonda no paso"/>
    <s v="MUZU"/>
    <s v="APLAZAMIENTO"/>
    <n v="1501"/>
    <s v="Aplazamiento_x000a_MDM-FIBRA-020040252_x000a_Cuadrilla en predio, cliente solicita reprogramara para el dia 14-08 en am , hoy no puede atender"/>
    <s v="N/A"/>
    <s v="N/A"/>
    <s v="N/A"/>
    <d v="2026-08-11T00:00:00"/>
    <x v="9"/>
    <x v="3"/>
    <s v="CARRO"/>
  </r>
  <r>
    <s v="AGOSTO"/>
    <s v="MDM-FIBRA-020053402"/>
    <x v="0"/>
    <x v="0"/>
    <s v="CC-52839595"/>
    <s v="ANGELA LILIANA CONTRERAS RODRIGUEZ"/>
    <s v="CL 71 SUR 102 51 ET 3B CA 143"/>
    <s v="ZTE-FODEN"/>
    <s v="observación: Se evidencia que la ductería esta obstruida, no pasa sonda"/>
    <s v="HOLANDA"/>
    <s v="NO VIABLE"/>
    <n v="1502"/>
    <s v="MDM-FIBRA-020053402_x000a_No contactado_x000a_Cuadrilla en predio, se marca a contactos sin respuesta, seguridad indica que no responden"/>
    <s v="N/A"/>
    <s v="N/A"/>
    <s v="N/A"/>
    <d v="2026-08-11T00:00:00"/>
    <x v="9"/>
    <x v="4"/>
    <s v="CARRO"/>
  </r>
  <r>
    <s v="AGOSTO"/>
    <s v="MDM-FIBRA-020032029"/>
    <x v="0"/>
    <x v="0"/>
    <s v="CC-29814253"/>
    <s v="MARIA DIVA ORTIZ ORTIZ"/>
    <s v="KR 52 19 40 SUR IN 31"/>
    <s v="ZTE-BFTEL"/>
    <s v="rop a nap, por cajas de fachada, se evidencia ductos desempatados, cables no se mueven, clar"/>
    <s v="MUZU"/>
    <s v="APLAZAMIENTO"/>
    <n v="1502"/>
    <s v="Aplazamiento_x000a_MDM-FIBRA-020032029_x000a_Cuadrilla en predio, se marca a contacto, cliente solicita reprogramar para el dia 14-08 en am"/>
    <s v="N/A"/>
    <s v="N/A"/>
    <s v="N/A"/>
    <d v="2026-08-11T00:00:00"/>
    <x v="9"/>
    <x v="1"/>
    <s v="CARRO"/>
  </r>
  <r>
    <s v="AGOSTO"/>
    <s v="MDM-FIBRA-020070340"/>
    <x v="1"/>
    <x v="1"/>
    <s v="CC-1006532870"/>
    <s v="MARYURY DAYANA SALAZAR ACOSTA"/>
    <s v="CL 138 57 86 BQ 1 AP 601"/>
    <s v="ZTE-NETWORKING"/>
    <s v="Ducteria obstruida "/>
    <s v="TOBERIN"/>
    <s v="NO VIABLE"/>
    <n v="1502"/>
    <s v="*Orden No viable*_x000a_MDM-FIBRA-020070340_x000a_Se realiza validación para tendido se evidencia que reformaron la cocina taparon la toma de teléfono y citofono este sale por perforacion en el muro y no hay de teléfono,  validamos las tomas del predio y se evidencia que no hay comunicación con la caja de paso ya que la sonda no sale por ningún ducto, en las habitaciones no se evidencian mas tomas por lo tanto no se puede instalar el drop; por fachada esta solo comunica al primer piso no hay como bajar el cable al sótano. hay red de claro pero está ingresa por fachada por la cocina y un agujero en el muro para salir al hall de habitaciones .administración no permite cableados por areas comunes. No se generan daños ni pérdidas durante la validacion. autoriza supervisor Yeison martinez."/>
    <s v="N/A"/>
    <s v="N/A"/>
    <s v="N/A"/>
    <d v="2026-08-13T00:00:00"/>
    <x v="9"/>
    <x v="2"/>
    <s v="MOTO"/>
  </r>
  <r>
    <s v="AGOSTO"/>
    <s v="MDM-FIBRA-020069299"/>
    <x v="0"/>
    <x v="0"/>
    <s v="CC-14942537"/>
    <s v="INDULFO REDIN ARAUJO"/>
    <s v="CL 37 BIS SUR 68F 51"/>
    <s v="ZTE-BFTEL"/>
    <s v="ducteria obstruida no pasa sonda"/>
    <s v="MUZU"/>
    <s v="SOLUCIONADA"/>
    <n v="1502"/>
    <s v="*Orden Solucionada*_x000a_MDM-FIBRA-020069299_x000a_Se realiza validacion y sondeo, las cajas de paso no tienen comunicación con la salida hacia la fachada, se envía por perforación realizada hasta llegar a nap asignada. En predio se deja donde es requerido. Se gastan 60 Mts F8- 02 Tensores. No se generan daños ni pérdidas durante la instalacion. Tecnico luis hoyos"/>
    <s v="60 f8"/>
    <s v="N/A"/>
    <n v="2"/>
    <d v="2026-08-13T00:00:00"/>
    <x v="9"/>
    <x v="0"/>
    <s v="CARRO"/>
  </r>
  <r>
    <s v="AGOSTO"/>
    <s v="MDM-FIBRA-019974355"/>
    <x v="0"/>
    <x v="0"/>
    <s v="CC-1015406237"/>
    <s v="DANY MAURICIA GUACARI LEYTON"/>
    <s v="CL 39H BIS SUR 68G 29"/>
    <s v="ZTE-BFTEL"/>
    <s v="se realiza sondeo desde la canalizacion, encontrandose obstruccion"/>
    <s v="MUZU"/>
    <s v="SOLUCIONADA"/>
    <n v="1502"/>
    <s v="*Orden Solucionada*_x000a_MDM-FIBRA-019974355_x000a_Se ingresa al cliente y se valida que no se encuentran tomas telefónicas, caja de distribución se válida ruta saliendo por fachada. se realiza  tendido de fibra óptica desde el punto requerido por el cliente saliendo a la fachada y posteriormente llegando al poste donde se encuentra la nap. Se gastan 60 mts de F.O f8 2 herrajes de retención F.O 1 hilo aérea. No se generan daños ni pérdidas durante la instalacion. Tecnico fredy corredor"/>
    <s v="60 F8"/>
    <s v="N/A"/>
    <n v="2"/>
    <d v="2026-08-13T00:00:00"/>
    <x v="9"/>
    <x v="4"/>
    <s v="CARRO"/>
  </r>
  <r>
    <s v="AGOSTO"/>
    <s v="MDM-FIBRA-019982619"/>
    <x v="0"/>
    <x v="0"/>
    <s v="CC-1024528615"/>
    <s v="JESICA JOANA ALFONSO GARZON"/>
    <s v="KR 69 1 35 SUR"/>
    <s v="ZTE-BFTEL"/>
    <s v="se encontro obstruccion, no pasa sonda"/>
    <s v="MUZU"/>
    <s v="CANCELADA"/>
    <n v="1502"/>
    <s v="*Orden Cancelada*_x000a_MDM-FIBRA-019982619_x000a_cuadrilla en predio, cliente indica que decidico cancelar el servicio."/>
    <s v="N/A"/>
    <s v="N/A"/>
    <s v="N/A"/>
    <d v="2026-08-13T00:00:00"/>
    <x v="9"/>
    <x v="1"/>
    <s v="CARRO"/>
  </r>
  <r>
    <s v="AGOSTO"/>
    <s v="MDM-FIBRA-020067581"/>
    <x v="0"/>
    <x v="0"/>
    <s v="CC-1109265943"/>
    <s v="PLINIO SERRANO FORERO"/>
    <s v="DG 34 SUR 68C 12 MJ 4"/>
    <s v="ZTE-BFTEL"/>
    <s v="se valida ruta de acceso a predio presenta obstrucción"/>
    <s v="MUZU"/>
    <s v="SOLUCIONADA"/>
    <n v="1502"/>
    <s v="*Orden Solucionada*_x000a_MDM-FIBRA-020067581_x000a_Se realiza validacion, se ingresa por perforación para salir a fachada, desde la fachada se ancla y se lleva directamente hacia la nap asignada. En predio predio se deja donde es requerido. Se gastan 55Mts F8 02 Herrajes.  No se generan daños ni pérdidas durante la instalacion. Tecnico luis hoyos"/>
    <s v="55F8"/>
    <s v="N/A"/>
    <n v="2"/>
    <d v="2026-08-13T00:00:00"/>
    <x v="9"/>
    <x v="0"/>
    <s v="CARRO"/>
  </r>
  <r>
    <s v="AGOSTO"/>
    <s v="MDM-FIBRA-019986949"/>
    <x v="0"/>
    <x v="0"/>
    <s v="CC-1023912575"/>
    <s v="JULIE ESMERALDA GORDILLO GAONA"/>
    <s v="DG 51A SUR 25 63 PI 3"/>
    <s v="ZTE-BFTEL"/>
    <s v="obstrucción caja fachada ducto de TV único ingreso a toma principal apto, sonda tranca, cables no se mueven , claro"/>
    <s v="MUZU"/>
    <s v="SOLUCIONADA"/>
    <n v="1502"/>
    <s v="*Orden Solucionada*_x000a_MDM-FIBRA-019986949_x000a_Se llega a predio, se habla con el usuario, se realiza validación y se busca la ruta desde la nap asignada hasta el predio. Se pasa por vía aérea  existente,  Se deja fibra  en punta en la nap y de alli hasta donde se va a dejar el punto. No se generan daños ni pérdidas durante la instalacion. Tecnico Jesus silva"/>
    <s v="N/A"/>
    <s v="N/A"/>
    <s v="N/A"/>
    <d v="2026-08-13T00:00:00"/>
    <x v="9"/>
    <x v="3"/>
    <s v="CARRO"/>
  </r>
  <r>
    <s v="AGOSTO"/>
    <s v="MDM-FIBRA-020029788"/>
    <x v="0"/>
    <x v="0"/>
    <s v="CC-1019037446"/>
    <s v="ICZAN JAIR ALVARADO DUARTE"/>
    <s v="CL 193 7 37 AP 805"/>
    <s v="ZTE-NETWORKING"/>
    <s v="se valida ruta de acceso a predio presenta obstrucción"/>
    <s v="TOBERIN"/>
    <s v="SOLUCIONADA"/>
    <n v="1502"/>
    <s v="*Orden Solucionada*_x000a_MDM-FIBRA-020029788_x000a_Se llega a predio, se habla con el usuario el cual autoriza realizar validación. Se evidencia ducteria telefonica obstruida, se busca ruta por toma de tv, se aplica jabón líquido y agua caliente dentro del predio y en caja de paso de pasillo. Se tiende fibra desde la PDP que queda en piso 7,  sube a piso 8,  ingresa a predio por toma principal de la sala y se deja en punto requerido. Se gastan 30 mts de Baja Fricción. No se generan daños ni pérdidas durante la instalacion. Tecnico cesar hernandez_x0009_"/>
    <n v="30"/>
    <s v="N/A"/>
    <s v="N/A"/>
    <d v="2026-08-08T00:00:00"/>
    <x v="10"/>
    <x v="1"/>
    <s v="CARRO"/>
  </r>
  <r>
    <s v="AGOSTO"/>
    <s v="MDM-FIBRA-020064571"/>
    <x v="1"/>
    <x v="1"/>
    <s v="NIT-901615666"/>
    <s v="SERVII GROUP SAS"/>
    <s v="CL 65 11 34 OF 302A"/>
    <s v="ZTE-NETWORKING"/>
    <s v="Se valida ingreso a oficina 301A   existe un cable múltiple como referencia pero no no se deja retirar , la sonda ingresa de 5 a 6 metros desde ambas entradas del ducto."/>
    <s v="CHICO"/>
    <s v="SOLUCIONADA"/>
    <n v="1502"/>
    <s v="*Orden Solucionada*_x000a_MDM-FIBRA-020064571_x000a_Se instalan 18 mtrs de drop de baja fricción desde la caja de paso por ducto de telefonía enviamos  el drop hasta la toma principal donde usuario solicita el servicio. se válida otra toma en el mismo lugar pero los cables existentes no se mueven. No se generan daños ni pérdidas durante la instalacion. Tecnico edwin diaz"/>
    <n v="18"/>
    <s v="N/A"/>
    <s v="N/A"/>
    <d v="2026-08-11T00:00:00"/>
    <x v="10"/>
    <x v="2"/>
    <s v="MOTO"/>
  </r>
  <r>
    <s v="AGOSTO"/>
    <s v="MDM-FIBRA-020057622"/>
    <x v="0"/>
    <x v="0"/>
    <s v="CC-80032288"/>
    <s v="FREDY YESID GONZALEZ ESTUPIÑAN"/>
    <s v="KR 110A 88 30"/>
    <s v="ZTE-COLVATEL"/>
    <s v="realiza validación, encuentra obstrucción entre cajas de paso, toca cablear de pto hasta nap."/>
    <s v="BACHUE"/>
    <s v="NO VIABLE"/>
    <n v="1502"/>
    <s v="MDM-FIBRA-020057622_x000a_NO CONTACTADO_x000a_Cuadrilla en predio,  via citofono cliente indico que cancelo el servicio, se marca a contacto sin respuesta."/>
    <s v="N/A"/>
    <s v="N/A"/>
    <s v="N/A"/>
    <d v="2026-08-11T00:00:00"/>
    <x v="10"/>
    <x v="3"/>
    <s v="CARRO"/>
  </r>
  <r>
    <s v="AGOSTO"/>
    <s v="MDM-FIBRA-020047971"/>
    <x v="0"/>
    <x v="0"/>
    <s v="CC-1233888432"/>
    <s v="YESICA LILIANA HERNANDEZ RODRIGUEZ"/>
    <s v="CL 60A SUR 44 11 TO A IN 3 AP 303"/>
    <s v="ZTE-FODEN"/>
    <s v="Ducteria obstruida "/>
    <s v="MUZU"/>
    <s v="NO VIABLE"/>
    <n v="1502"/>
    <s v="MDM-FIBRA-020047971_x000a_No contactado_x000a_Cuadrilla en predio, seguridad indica que no tiene contacto con cliente, se realiza marcado, sin respuesta."/>
    <s v="N/A"/>
    <s v="N/A"/>
    <s v="N/A"/>
    <d v="2026-08-11T00:00:00"/>
    <x v="10"/>
    <x v="4"/>
    <s v="CARRO"/>
  </r>
  <r>
    <s v="AGOSTO"/>
    <s v="MDM-FIBRA-019901194"/>
    <x v="0"/>
    <x v="0"/>
    <s v="PPT-856764"/>
    <s v="MILEIDY CONTRERAS PICON"/>
    <s v="CL 7 90 76 CA 137"/>
    <s v="ZTE-COLVATEL"/>
    <s v="alidación en la cual se encuentra obstrucción de nap a predio pasando por dos cdp"/>
    <s v="FONTIBON"/>
    <s v="SOLUCIONADA"/>
    <n v="1502"/>
    <s v="Orden Solucionada_x000a_HILADO_x000a_MDM-FIBRA-019901194_x000a_Se llega a predio, se habla con el usuario, se realiza validación, se busca la ruta desde  NAP PRECONECTORIZADA  hasta el predio en sitio indicado. No se generan daños ni pérdidas durante la instalacion. Tecnico Jesus silva."/>
    <s v="N/A"/>
    <s v="N/A"/>
    <s v="N/A"/>
    <d v="2026-08-13T00:00:00"/>
    <x v="10"/>
    <x v="3"/>
    <s v="CARRO"/>
  </r>
  <r>
    <s v="AGOSTO"/>
    <s v="MDM-FIBRA-020057167"/>
    <x v="1"/>
    <x v="1"/>
    <s v="CC-13748281"/>
    <s v="VLADIMIR CATAÑO GUTIERREZ"/>
    <s v="CL 73 0 16 ESTE TO 1 AP 301"/>
    <s v="ZTE-NETWORKING"/>
    <s v="se valida ruta de acceso a predio presenta obstrucción"/>
    <s v="CHICO"/>
    <s v="SOLUCIONADA"/>
    <n v="1502"/>
    <s v="Orden Solucionada_x000a_MDM-FIBRA-020057167_x000a_Se instalan 25 mtrs de drop de baja fricción desde la caja de paso con disponibilidad en piso 2, subimos al piso 3 enviamos el drop hasta la toma principal en la cocina, luego por otro ducto hasta la toma de la sala donde dejamos la reserva en este punto indicado por el usuario. Si solicitan puntos periféricos se debe pasar  por toma de la sala al cuarto principal y de allí deben perfilar los UTP según usuario. No se generan daños ni pérdidas durante la instalacion. Tecnico edwin diaz."/>
    <n v="25"/>
    <s v="N/A"/>
    <s v="N/A"/>
    <d v="2026-08-13T00:00:00"/>
    <x v="10"/>
    <x v="2"/>
    <s v="MOTO"/>
  </r>
  <r>
    <s v="AGOSTO"/>
    <s v="MDM-FIBRA-020032029"/>
    <x v="0"/>
    <x v="0"/>
    <s v="CC-29814253"/>
    <s v="MARIA DIVA ORTIZ ORTIZ"/>
    <s v="KR 52 19 40 SUR IN 31"/>
    <s v="ZTE-BFTEL"/>
    <s v="rop a nap, por cajas de fachada, se evidencia ductos desempatados, cables no se mueven, clar"/>
    <s v="MUZU"/>
    <s v="NO VIABLE"/>
    <n v="1502"/>
    <s v="Orden No viable_x000a_MDM-FIBRA-020032029_x000a_Se erealiza validacion y sondeo desde caja de telefonica, se envía sonda saliendo a caja de paso en fachada, en la caja fachada se evidencia 4 ductos para cuatro casas, y se debe cruzar 2 casas para encontrar la siguiente caja de paso, pero esta se encuentra dentro de la casa 35 no autorizan el ingreso, el administrador del conjunto nos indica que algunas cajas de paso fueron tapadas y algunas quedaron dentro de los predio. No se generan daños ni pérdidas durante la validacion. autoriza supervisor Yeison martinez."/>
    <s v="N/A"/>
    <s v="N/A"/>
    <s v="N/A"/>
    <d v="2026-08-11T00:00:00"/>
    <x v="10"/>
    <x v="0"/>
    <s v="CARRO"/>
  </r>
  <r>
    <s v="AGOSTO"/>
    <s v="MDM-FIBRA-020040252"/>
    <x v="0"/>
    <x v="0"/>
    <s v="CC-1013608099"/>
    <s v="SANDRA NATHALIE JIMENEZ TORRES"/>
    <s v="DG 49A BIS A SUR 13J 91 TO 3 AP 1825"/>
    <s v="ZTE-BFTEL"/>
    <s v="l ducto que comunica de la caja de paso a la toma principal se encuentra obstruido sonda no paso"/>
    <s v="MUZU"/>
    <s v="SOLUCIONADA"/>
    <n v="1501"/>
    <s v="*Orden Solucionada*_x000a_MDM-FIBRA-020040252_x000a_Se realiza validacion y sondeo desde caja telefonica, se  evidencia cable coaxial del servicio claro, se pasa a la siguiente caja ubicada donde va la lavadora, se continua desde la 2 caja de paso hacia caja de paso en pasillo, desde ese piso sube hacia el piso 19 donde se encuentra la Furukawa. _x000a_En predio se deja donde es requerido. Se gastan 25Mts Baja Friccion. No se generan daños ni pérdidas durante la instalacion. Tecnico Luis hoyos"/>
    <n v="25"/>
    <s v="N/A"/>
    <s v="N/A"/>
    <d v="2026-08-11T00:00:00"/>
    <x v="10"/>
    <x v="0"/>
    <s v="CARRO"/>
  </r>
  <r>
    <s v="AGOSTO"/>
    <s v="MDM-FIBRA-020072367"/>
    <x v="0"/>
    <x v="0"/>
    <s v="CC-52539849"/>
    <s v="ADRIANA MERCEDES JIMENEZ AVILA"/>
    <s v="CL 71 SUR 102 51 CA 200"/>
    <s v="ZTE-COLVATEL"/>
    <s v="obstrucción entre cajas de paso externas del predio"/>
    <s v="HOLANDA"/>
    <s v="NO VIABLE"/>
    <n v="1502"/>
    <s v="MDM-FIBRA-020072367_x000a_No contactado_x000a_Cuadrilla en predio, se marca a contacto numero apagado, se golpea nadie sale."/>
    <s v="N/A"/>
    <s v="N/A"/>
    <s v="N/A"/>
    <d v="2026-08-13T00:00:00"/>
    <x v="10"/>
    <x v="4"/>
    <s v="CARRO"/>
  </r>
  <r>
    <s v="AGOSTO"/>
    <s v="MDM-FIBRA-020031447"/>
    <x v="0"/>
    <x v="0"/>
    <s v="CC-24138351"/>
    <s v="LUZ BELLA GUTIERREZ SALDAÑA"/>
    <s v="DG 62 SUR 20A 42 CA 55"/>
    <s v="ZTE-FODEN"/>
    <s v="se llega a predio donde taparon la toma telefónica obstruida"/>
    <s v="MUZU"/>
    <s v="SOLUCIONADA"/>
    <n v="1502"/>
    <s v="Orden Solucionada_x000a_MDM-FIBRA-020031447_x000a_Se ingresa al cliente, se evidencia que no se encuentra toma telefónica,  en remodelaciones la dejaron tapada se identifica punto y se hace perforación por petición del cliente y y se encuentra la entrada. Se realiza tendido de fibra óptica desde el punto requerido por el cliente saliendo a la caja de distribución en fachada y posteriormente pasando por dos cajas de distribución en anden llegando a la caja donde se encuentra la nap asignada. Se gastan 50 mts de F.O de baja fricción. No se generan daños ni pérdidas durante la instalacion. Tecnico fredy corredor."/>
    <n v="50"/>
    <s v="N/A"/>
    <s v="N/A"/>
    <d v="2026-08-13T00:00:00"/>
    <x v="10"/>
    <x v="4"/>
    <s v="CARRO"/>
  </r>
  <r>
    <s v="AGOSTO"/>
    <s v="MDM-FIBRA-019971904"/>
    <x v="0"/>
    <x v="0"/>
    <s v="CC-1015393578"/>
    <s v="ELIZABETH AVILA JIMENEZ"/>
    <s v="CL 151 111A 25 CA 98"/>
    <s v="ZTE-NETWORKING"/>
    <s v=" Por favor escalar 1502 se valida ruta de acceso a predio presenta obstrucción la sonda no pasa se requiere cuadrilla de quiebre"/>
    <s v="SUBA"/>
    <s v="SOLUCIONADA"/>
    <n v="1502"/>
    <s v="Orden Solucionada_x000a_MDM-FIBRA-019971904_x000a_Se llega a predio, se habla con el usuario el cual autoriza realizar validación. se evidencia ducteria telefonica obstruida, se busca ruta por toma de tv. se aplica jabón líquido y agua caliente dentro del predio y en cajas de paso mural y se realizan varias pescas. se tiende fibra desde la nap, pasando por 3 cajas de paso peatonal (canalizado) y 2 murales.  ingresa a predio por toma principal de la sala, sube a alcoba en piso 2 y se deja en punto requerido. se gastan 80 mts de baja fricción. No se generan daños ni pérdidas durante la instalacion. Tecnico cesar hernandez"/>
    <n v="80"/>
    <s v="N/A"/>
    <s v="N/A"/>
    <d v="2026-08-13T00:00:00"/>
    <x v="10"/>
    <x v="1"/>
    <s v="CARRO"/>
  </r>
  <r>
    <s v="AGOSTO"/>
    <s v="MDM-FIBRA-020038506"/>
    <x v="1"/>
    <x v="1"/>
    <s v="CC-79946546"/>
    <s v="ENRIQUE BARONA MONROY"/>
    <s v="KR 20 40 40 AP 212"/>
    <s v="ZTE-BFTEL"/>
    <s v="obstrucción toma principal a caja de pasillo, sin cables, sonda tranca, tubo desempatado, sin operador, no aceptan cables por fuera"/>
    <s v="CUNI"/>
    <s v="SOLUCIONADA"/>
    <n v="1502"/>
    <s v="Orden Solucionada_x000a_MDM-FIBRA-020038506_x000a_Se instalan 25 mtrs de drop de baja fricción desde la caja de paso enviamos el drop por ducto principal hacia una caja de paso en techo,  luego pasamos a una caja de paso dentro del predio y de esta caja por tubo de telefonía hasta la toma  principal donde usuario solicita el servicio. No se generan daños ni pérdidas durante la instalacion. Tecnico edwin diaz"/>
    <n v="25"/>
    <s v="N/A"/>
    <s v="N/A"/>
    <d v="2026-08-13T00:00:00"/>
    <x v="10"/>
    <x v="2"/>
    <s v="MOTO"/>
  </r>
  <r>
    <s v="AGOSTO"/>
    <s v="MDM-FIBRA-020064129"/>
    <x v="0"/>
    <x v="0"/>
    <s v="CC-1018491212"/>
    <s v="JUAN CAMILO MARIN CALA"/>
    <s v="CL 25B 70B 50 TO 6 AP 302"/>
    <s v="ZTE-BFTEL"/>
    <s v="se validacion encontrando obstruccion"/>
    <s v="CUNI"/>
    <s v="SOLUCIONADA"/>
    <n v="1502"/>
    <s v="*Orden Solucionada*_x000a_MDM-FIBRA-020064129_x000a_Se llega a predio, se habla con el usuario, se realiza validación y se busca la ruta desde la nap asignada hasta el predio. se extiende fibra desde la nap, se pasa por vertical hasta el  punto requerido por el cliente. No se generan daños ni pérdidas durante la instalacion. Tecnico jesus silva"/>
    <s v="N/A"/>
    <s v="N/A"/>
    <s v="N/A"/>
    <d v="2026-08-14T00:00:00"/>
    <x v="10"/>
    <x v="3"/>
    <s v="CARRO"/>
  </r>
  <r>
    <s v="AGOSTO"/>
    <s v="MDM-FIBRA-020075350"/>
    <x v="2"/>
    <x v="2"/>
    <s v="CC-1102386951"/>
    <s v="MERLY JOHANA GUIZA PEREZ"/>
    <s v="CL 41B SUR 2A 15 ESTE"/>
    <s v="ZTE-BFTEL"/>
    <s v="en la viabilidad que se evidenció y desde la nap asignada,se debe realizar un tendido de manera aérea pero excede la distancia máxima permitida por la interventoria de ETB,para este caso tiene una longitud aproximadamente de 290 mts,hay más nap's pero torre de diseño informa que se encuentra al 100% de su ocupación"/>
    <s v="SANTA INES"/>
    <s v="NO VIABLE"/>
    <n v="1502"/>
    <s v="No viable/en la viabilidad que se evidenció y desde la nap asignada,se debe realizar un tendido de manera aérea pero excede la distancia máxima permitida por la interventoria de ETB,para este caso tiene una longitud aproximadamente de 290 mts,hay más nap's pero torre de diseño informa que se encuentra al 100% de su ocupación"/>
    <s v="N/A"/>
    <s v="N/A"/>
    <s v="N/A"/>
    <d v="2026-08-14T00:00:00"/>
    <x v="10"/>
    <x v="5"/>
    <s v="N/A"/>
  </r>
  <r>
    <s v="AGOSTO"/>
    <s v="MDM-FIBRA-020035915"/>
    <x v="2"/>
    <x v="2"/>
    <s v="CC-1074928758"/>
    <s v="MARIBEL MORENO ORJUELA"/>
    <s v="CL 42F SUR 94A 10"/>
    <s v="ZTE-COLVATEL"/>
    <s v="realiza validación en la cual no es posible ingresar la fibra debido a que no hay acometida interna para llegar hasta el apto de la parte de atrás"/>
    <s v="CALANDAIMA"/>
    <s v="NO VIABLE"/>
    <n v="1502"/>
    <s v="No viable//realiza validación en la cual no es posible ingresar la fibra debido a que no hay acometida interna para llegar hasta el apto de la parte de atrás"/>
    <s v="N/A"/>
    <s v="N/A"/>
    <s v="N/A"/>
    <d v="2026-08-14T00:00:00"/>
    <x v="10"/>
    <x v="5"/>
    <s v="N/A"/>
  </r>
  <r>
    <s v="AGOSTO"/>
    <s v="MDM-FIBRA-020074760"/>
    <x v="2"/>
    <x v="2"/>
    <s v="CC-79911021"/>
    <s v="ALEJANDRO FERNANDEZ CASTELLANOS"/>
    <s v="CL 10 27 63 NV 3 LC 1"/>
    <s v="ZTE-BFTEL"/>
    <s v="Orden no se puede realizar ya que la instalación se debería sacar de la nap y enviarla por los pasillos,se le da la ruta al cliente pero solicita permiso en la administración y no le permiten enviar la fibra así,no hay más rutas"/>
    <s v="CUNI"/>
    <s v="NO VIABLE"/>
    <n v="1502"/>
    <s v="No viable/Orden no se puede realizar ya que la instalación se debería sacar de la nap y enviarla por los pasillos,se le da la ruta al cliente pero solicita permiso en la administración y no le permiten enviar la fibra así,no hay más rutas"/>
    <s v="N/A"/>
    <s v="N/A"/>
    <s v="N/A"/>
    <d v="2026-08-14T00:00:00"/>
    <x v="10"/>
    <x v="5"/>
    <s v="N/A"/>
  </r>
  <r>
    <s v="AGOSTO"/>
    <s v="MDM-FIBRA-019975350"/>
    <x v="0"/>
    <x v="0"/>
    <s v="CC-52110231"/>
    <s v="NUVIA BRAVO HERNADEZ"/>
    <s v="CL 152A 101A 45 IN 12 AP 501"/>
    <s v="ZTE-NETWORKING"/>
    <s v=" se valida ruta de acceso a predio presenta obstrucción la sonda solo pasa unos dos metros se requiere cuadrilla de quiebre"/>
    <s v="SUBA"/>
    <s v="CANCELADA"/>
    <n v="1502"/>
    <s v="Orden Cancelada_x000a_MDM-FIBRA-019975350_x000a_Cuadrilla en predio se marca a contacto cliente NUVIA BRAVO HERNADEZ indica que decidio cancelar el servicio, no da mas informacion."/>
    <s v="N/A"/>
    <s v="N/A"/>
    <s v="N/A"/>
    <d v="2026-08-08T00:00:00"/>
    <x v="11"/>
    <x v="1"/>
    <s v="CARRO"/>
  </r>
  <r>
    <s v="AGOSTO"/>
    <s v="MDM-FIBRA-020018196"/>
    <x v="0"/>
    <x v="0"/>
    <s v="CC-80748465"/>
    <s v="DIEGO ALEJANDRO HOLGUIN CUSGUEN"/>
    <s v="CL 42 sur # 12f - 22"/>
    <s v="ZTE-BFTEL"/>
    <s v="obstrucción caja fachada ducto de TV único ingreso a toma principal apto, sonda tranca, cables no se mueven , claro"/>
    <s v="MUZU"/>
    <s v="SOLUCIONADA"/>
    <n v="1501"/>
    <s v="Orden Solucionada_x000a_MDM-FIBRA-020018196_x000a_Se realiza validacion y sondeo desde caja telefonica, hacia el pasillo no hay caja de paso, los ductos van directos hasta la fachada, hasta llegar a la caja desde la caja fachada se lleva hasta la nap asignada. Se gastan 60Mts F8- 02 Tensores. No se generan daños ni pérdidas durante la instalacion. Tecnico luis hoyos"/>
    <s v="60 F8"/>
    <s v="N/A"/>
    <n v="2"/>
    <d v="2026-08-05T00:00:00"/>
    <x v="11"/>
    <x v="0"/>
    <s v="CARRO"/>
  </r>
  <r>
    <s v="AGOSTO"/>
    <s v="MDM-FIBRA-020057939"/>
    <x v="0"/>
    <x v="0"/>
    <s v="CC-1026575759"/>
    <s v="EDUARDO SEBASTIAN TOQUICA PEREZ"/>
    <s v="KR 27 29A 85 SUR AP 1002"/>
    <s v="ZTE-BFTEL"/>
    <s v="no se puede ejecutar ya que encontramos que la ducteria se encuentra obstruida no pasa la dónde no del apartamento a la caja de paso y lo mismo de la caja de paso al apartamento"/>
    <s v="MUZU"/>
    <s v="SOLUCIONADA"/>
    <n v="1502"/>
    <s v="*Orden Solucionada*_x000a_MDM-FIBRA-020057939_x000a_Se realiza validacion y sondeo desde caja telefonica, se pasa hacia caja de distribución, hasta llegar a caja de paso en el pasillo donde se encuentra la PDP de piso.  En predio se deja donde es requerido. Se gastan 25 Mts Baja Friccion. No se generan daños ni pérdidas durante la instalacion. Tecnico luis hoyos"/>
    <n v="25"/>
    <s v="N/A"/>
    <s v="N/A"/>
    <d v="2026-08-14T00:00:00"/>
    <x v="11"/>
    <x v="0"/>
    <s v="CARRO"/>
  </r>
  <r>
    <s v="AGOSTO"/>
    <s v="MDM-FIBRA-020077306"/>
    <x v="0"/>
    <x v="0"/>
    <s v="CC-93288893"/>
    <s v="JORGE ELIECER PEREZ GUTIERREZ"/>
    <s v="KR 94F 133A 49 AP 312"/>
    <s v="ZTE-CONECTAR"/>
    <s v="Se evidencia que la ductería esta obstruida, no pasa sonda"/>
    <s v="SUBA"/>
    <s v="SOLUCIONADA"/>
    <n v="1502"/>
    <s v="Orden Solucionada_x000a_MDM-FIBRA-020077306_x000a_Se llega a predio, se habla con el usuario el cual autoriza realizar validación. no se evidencia tomas dentro del apartamento de ningún tipo. se busca ruta alterna por fachada. se tiende fibra desde la nap, pasando por 6 cajas de paso peatonal (canalizado) y 3 murales; sube y se ancla en bloque anterior, se pasa por poste de apoyo ínterno, se ancla a fachada del cliente, se ingresa por perforación realizada y se deja en punto requerido. Se gastan 100 mts de Baja Fricción  4 Herrajes. No se generan daños ni pérdidas durante la instalacion. Tecnico cesar hernandez"/>
    <n v="100"/>
    <s v="N/A"/>
    <n v="4"/>
    <d v="2026-08-14T00:00:00"/>
    <x v="11"/>
    <x v="1"/>
    <s v="CARRO"/>
  </r>
  <r>
    <s v="AGOSTO"/>
    <s v="MDM-FIBRA-020052524"/>
    <x v="1"/>
    <x v="1"/>
    <s v="CC-1020819776"/>
    <s v="DIEGO ESCOBAR DIAZ"/>
    <s v="KR 2 ESTE 70A 50 AP 201"/>
    <s v="ZTE-NETWORKING"/>
    <s v="Por favor escalar 1502 se valida ruta de acceso a predio presenta obstrucción"/>
    <s v="CHICO"/>
    <s v="NO VIABLE"/>
    <n v="1502"/>
    <s v="*Orden No viable*_x000a_MDM-FIBRA-020052524_x000a_Realizamos validación de ruta para tendido, se evidencio que la toma principal estaba oculta debajo de un mueble al sondear esta presenta obstrucción a 30 cmtrs y de la caja de paso hacia adentro ingresan aproximadamente 10 MTRS se escucha cerca de salir pero la obstrucción no lo permite; por citofono también la sonda ingresan 10 MTRS y no sale y en la caja se evidencia que el tubo tiene piedras y no salen. cables existentes no se mueven .no hay caja de TV en pasillo va interna compartida con otros predios no hay canaletas por fachada .usuario debe realizar una obra civil en la toma principal y desbloquear el ducto para poder instalar .No se generan daños ni pérdidas durante la validacion. autoriza supervisor delmard abrill."/>
    <s v="N/A"/>
    <s v="N/A"/>
    <s v="N/A"/>
    <d v="2026-08-14T00:00:00"/>
    <x v="11"/>
    <x v="2"/>
    <s v="MOTO"/>
  </r>
  <r>
    <s v="AGOSTO"/>
    <s v="MDM-FIBRA-020024168"/>
    <x v="1"/>
    <x v="1"/>
    <s v="CC-51815991"/>
    <s v="DIANA ROCIO TORRES HERNANDEZ"/>
    <s v="TV 3 85 10 ET 3 AP 606"/>
    <s v="ZTE-NETWORKING"/>
    <s v="Por favor escalar 1502 se valida ruta de acceso a predio presenta obstrucción"/>
    <s v="CHICO"/>
    <s v="NO VIABLE"/>
    <n v="1502"/>
    <s v="MDM-FIBRA-020024168_x000a_No se finaliza labores, persona encargada indica que debe salir, no da nueva fecha para visita.  Se marca a contactos de titular sin respuesta"/>
    <s v="N/A"/>
    <s v="N/A"/>
    <s v="N/A"/>
    <d v="2026-08-14T00:00:00"/>
    <x v="11"/>
    <x v="2"/>
    <s v="MOTO"/>
  </r>
  <r>
    <s v="AGOSTO"/>
    <s v="MDM-FIBRA-019981684"/>
    <x v="0"/>
    <x v="0"/>
    <s v="CC-1117551074"/>
    <s v="YUBELY BASTIDAS QUINTERO"/>
    <s v="DG 49 SUR 86 40 CA 329"/>
    <s v="ZTE-CONECTAR"/>
    <s v="Se evidencia que la ductería esta obstruida, no pasa sonda"/>
    <s v="HOLANDA"/>
    <s v="APLAZAMIENTO"/>
    <n v="1502"/>
    <s v="Aplazamiento_x000a_MDM-FIBRA-019981684_x000a_Cuadrilla en predio, se marca a contacto sra YUBELY BASTIDAS indica que esta laborando, no puede atender el dia de hoy, solicita reprogramar para el dia martes 18/08 en am"/>
    <s v="N/A"/>
    <s v="N/A"/>
    <s v="N/A"/>
    <d v="2026-08-14T00:00:00"/>
    <x v="11"/>
    <x v="3"/>
    <s v="CARRO"/>
  </r>
  <r>
    <s v="AGOSTO"/>
    <s v="MDM-FIBRA-020057885"/>
    <x v="0"/>
    <x v="0"/>
    <s v="CC-1023017451"/>
    <s v="JEIMI HASBLEYDI ACUÑA CRUZ"/>
    <s v="TV 63 68B 92 SUR BQ 1 CA 5B"/>
    <s v="ZTE-FODEN"/>
    <s v="Ducteria obstruida"/>
    <s v="MUZU"/>
    <s v="SOLUCIONADA"/>
    <n v="1502"/>
    <s v="Orden Solucionada_x000a_MDM-FIBRA-020057885_x000a_Se llega a predio, se habla con el usuario, se realiza validación y se busca la ruta desde la nap asignada, se pasa por 2 cámaras hasta el predio dejando en sitio indicado.  se gastan 65 MTS de fibra de baja fricción. No se generan daños ni pérdidas durante la instalacion. Tecnico jesus silva"/>
    <n v="65"/>
    <s v="N/A"/>
    <s v="N/A"/>
    <d v="2026-08-14T00:00:00"/>
    <x v="11"/>
    <x v="3"/>
    <s v="CARRO"/>
  </r>
  <r>
    <s v="AGOSTO"/>
    <s v="MDM-FIBRA-020078922"/>
    <x v="0"/>
    <x v="0"/>
    <s v="CC-1079263111"/>
    <s v="CARMEN ELENA URREGO HIDALGO"/>
    <s v="KR 114 148 65 IN 1 AP 402"/>
    <s v="ZTE-CONECTAR"/>
    <s v="Se evidencia que la ducteria esta tapada y no pasa sonda"/>
    <s v="SUBA"/>
    <s v="APLAZAMIENTO"/>
    <n v="1502"/>
    <s v="Aplazamiento_x000a_MDM-FIBRA-020078922_x000a_Se llega a predio, se realiza validación de ruta desde la Furukawa hasta punto principal del cliente. Usuario no puede atender más y pide reagendar para el Martes 18/08/2026 8 AM. No se generan daños ni pérdidas durante la validacion."/>
    <s v="N/A"/>
    <s v="N/A"/>
    <s v="N/A"/>
    <d v="2026-08-14T00:00:00"/>
    <x v="11"/>
    <x v="1"/>
    <s v="CARRO"/>
  </r>
  <r>
    <s v="AGOSTO"/>
    <s v="MDM-FIBRA-020052605"/>
    <x v="0"/>
    <x v="0"/>
    <s v="CC-52444465"/>
    <s v="JINETH RODRIGUEZ CALVO"/>
    <s v="KR 95 72 46 SUR CA 68"/>
    <s v="ZTE-CONECTAR"/>
    <s v="No pasa sonda se requiere cuadrilla especializada"/>
    <s v="HOLANDA"/>
    <s v="SOLUCIONADA"/>
    <n v="1502"/>
    <s v="*Orden Solucionada*_x000a_MDM-FIBRA-020052605_x000a_Se ingresa al cliente, se validan tomas telefónicas y caja de distribución en anden, Se realiza_x000a_tendido de fibra óptica desde el punto requerido por el cliente saliendo a la caja CPD donde se encuentra la nap asignada. Se gastan 35 MTS de F.0 de baja fricción. No se generan daños ni pérdidas durante la instalacion. Tecnico fredy corredor_x000a_"/>
    <n v="35"/>
    <s v="N/A"/>
    <s v="N/A"/>
    <d v="2026-08-14T00:00:00"/>
    <x v="11"/>
    <x v="4"/>
    <s v="CARRO"/>
  </r>
  <r>
    <s v="AGOSTO"/>
    <s v="MDM-FIBRA-020028702"/>
    <x v="1"/>
    <x v="1"/>
    <s v="PA-X00167016"/>
    <s v="MATHEW WINSLOW"/>
    <s v="CL 93 17 23 AP 608"/>
    <s v="ZTE-NETWORKING"/>
    <s v="Los ductos están libre pero la sonda no ingresa  hacian el apto  y tampoco en sentido contrario . Se evidencia cables coaxiales cortados los cuales tampoco se pueden ratitas"/>
    <s v="CHICO"/>
    <s v="SOLUCIONADA"/>
    <n v="1502"/>
    <s v="Orden Solucionada_x000a_MDM-FIBRA-020028702_x000a_Se instalan 15 mtrs de drop de baja fricción desde la caja de paso por ducto de telefonía, enviamos el drop hasta la caja de paso dentro del apartamento, hasta la toma donde usuario solicita el servicio; para punto periférico en la sala tecnico debe devolverse por la toma de teléfono hasta la caja de paso y revisar los demás puntos hacia la sala. No se generan daños ni pérdidas durante la instalacion. Tecnico edwin diaz"/>
    <n v="15"/>
    <s v="N/A"/>
    <s v="N/A"/>
    <d v="2026-08-14T00:00:00"/>
    <x v="11"/>
    <x v="2"/>
    <s v="MOTO"/>
  </r>
  <r>
    <s v="AGOSTO"/>
    <s v="MDM-FIBRA-019954122"/>
    <x v="0"/>
    <x v="0"/>
    <s v="CC-55057153"/>
    <s v="MYRIAM JOVEN RODRIGUEZ"/>
    <s v="CL 54C SUR 86B 21 CA 42"/>
    <s v="ZTE-CONECTAR"/>
    <s v="Se envía sonda lo cual la primera comunicación es un aproximado de 26 metros la sonda nos alcanza a pasar Masómenos unos 20 metros pero no da más por el tubo pasa cable de la casa 41 y casa 42 el cliente cuenta con Movistar"/>
    <s v="HOLANDA"/>
    <s v="SOLUCIONADA"/>
    <n v="1502"/>
    <s v="Orden Solucionada_x000a_MDM-FIBRA-019954122_x000a_Se ingresa al cliente , se validan tomas telefónicas y caja de distribución en fachada se realiza sondeo. Se realiza tendido de fibra óptica desde el punto requerido por el cliente saliendo a la caja de distribución en fachada y posteriormente pasando por tres cajas más en anden llegando a la caja CPS donde se encuentra la nap asignada. Se gastan 70 mts de F.O de baja fricción. No se generan daños ni pérdidas durante la instalacion. Tecnico fredy corredor"/>
    <n v="70"/>
    <s v="N/A"/>
    <s v="N/A"/>
    <d v="2026-08-14T00:00:00"/>
    <x v="11"/>
    <x v="4"/>
    <s v="CARRO"/>
  </r>
  <r>
    <s v="AGOSTO"/>
    <s v="MDM-FIBRA-019874385"/>
    <x v="2"/>
    <x v="2"/>
    <s v="PPT-6096360"/>
    <s v="STEPHANIE NAYLU PETIT USECHI"/>
    <s v="KR 95A 26 38 SUR ET 3 TO 4 AP 105"/>
    <s v="ZTE-COLVATEL"/>
    <s v="Escalar oden ya que se presenta obstrucción entre la caja de distribución del primer piso hasta la CTO asignada en el segundo piso"/>
    <s v="CALANDAIMA"/>
    <s v="NO VIABLE"/>
    <n v="1502"/>
    <s v="Gestionada Orden No viable_x000a_MDM-FIBRA-019874385_x000a_Se llega a predio, se habla con el usuario el cual autoriza realizar validación, se evidencia ducteria telefónica obstruida, se busca ruta por toma de tv, se aplica jabón líquido y agua caliente dentro del predio y  se logra hilar solo de predio a salida de caja de pasillo. Nap se encuentra piso 2, pero la caja de codensa dentro del bloque está tapada baldosin. se trata de de realizar un devuelto con cable que se encontro  pero no se logro pasar, la trasabilidad del 2 piso de caja de paso a caja de paso 1 ya que no es línea y toca si ó si abrir caja de codensa.  no se encuentran más rutas viables. No se generan daños ni pérdidas durante la validacion. autoriza supervisor yeison martinez."/>
    <s v="N/A"/>
    <s v="N/A"/>
    <s v="N/A"/>
    <d v="2026-08-15T00:00:00"/>
    <x v="11"/>
    <x v="5"/>
    <s v="N/A"/>
  </r>
  <r>
    <s v="AGOSTO"/>
    <s v="MDM-FIBRA-020074283"/>
    <x v="0"/>
    <x v="0"/>
    <s v="CC-52734833"/>
    <s v="SANDRA MILENA RUIZ CASAS"/>
    <s v="KR 73F 60A 40 SUR IN 9 AP 204"/>
    <s v="ZTE-CONECTAR"/>
    <s v="Ducteria obstruida "/>
    <s v="MUZU"/>
    <s v="NO VIABLE"/>
    <n v="1502"/>
    <s v="*Orden No viable*_x000a_MDM-FIBRA-020074283_x000a_Cuadrilla en predio,  se realiza validación desde el predio,  se llega directamente a dos cámaras codensas y desde alli  hasta  cámara de movistar y de ahí se va por todas las cámaras hasta llegar a la nap, adicional tendido excede el metraje autorizado. la nap asignada es preconectorizada. No se generan daños ni pérdidas durante la validacion. autoriza supervisor delmard abril."/>
    <s v="N/A"/>
    <s v="N/A"/>
    <s v="N/A"/>
    <d v="2026-08-15T00:00:00"/>
    <x v="11"/>
    <x v="3"/>
    <s v="CARRO"/>
  </r>
  <r>
    <s v="AGOSTO"/>
    <s v="MDM-FIBRA-020077294"/>
    <x v="2"/>
    <x v="2"/>
    <s v="CC-1007438966"/>
    <s v="JOSE ROBERTO RODRIGUEZ ALVAREZ"/>
    <s v="KR 7 ESTE 36H 36 SUR PI 2"/>
    <s v="ZTE-BFTEL"/>
    <s v=" no se puede realizar ya que no tenemos acceso hacia el apartamento es una casa bastante grande con varios apartamentos la única llegada sería por encima de un techo lo cual no estamos autorizados y no tiene seguridad ya que se pueden causar daños o un accidente del tecnico"/>
    <s v="SANTA INES"/>
    <s v="NO VIABLE"/>
    <n v="1502"/>
    <s v="No viable// no se puede realizar ya que no tenemos acceso hacia el apartamento es una casa bastante grande con varios apartamentos la única llegada sería por encima de un techo lo cual no estamos autorizados y no tiene seguridad ya que se pueden causar daños o un accidente del tecnico"/>
    <s v="N/A"/>
    <s v="N/A"/>
    <s v="N/A"/>
    <d v="2026-08-15T00:00:00"/>
    <x v="11"/>
    <x v="5"/>
    <s v="N/A"/>
  </r>
  <r>
    <s v="AGOSTO"/>
    <s v="MDM-FIBRA-020069546"/>
    <x v="0"/>
    <x v="0"/>
    <s v="CC-1098657505"/>
    <s v="FAVIAN ANDRES MORA HERNANDEZ"/>
    <s v="KR 95A 136 47 IN 13 AP 201"/>
    <s v="ZTE-CONECTAR"/>
    <s v=" observación: Se evidencia que la ductería esta obstruida, no pasa sonda"/>
    <s v="SUBA"/>
    <s v="APLAZAMIENTO"/>
    <n v="1502"/>
    <s v="Aplazamiento_x000a_MDM-FIBRA-020069546_x000a_Cuadrilla en predio, se marca a contacto, cliente indcia que no puede atender, solicita reprogramar para el dia 19-08 en am"/>
    <s v="N/A"/>
    <s v="N/A"/>
    <s v="N/A"/>
    <d v="2026-08-14T00:00:00"/>
    <x v="12"/>
    <x v="1"/>
    <s v="CARRO"/>
  </r>
  <r>
    <s v="AGOSTO"/>
    <s v="MDM-FIBRA-020022524"/>
    <x v="0"/>
    <x v="0"/>
    <s v="CC-14979173"/>
    <s v="FEDERICO RODRIGUEZ MORAN"/>
    <s v="KR 48 150A 40 IN 15 AP 302"/>
    <s v="ZTE-NETWORKING"/>
    <s v="Por favor escalar 1502 se valida ruta de acceso a predio presenta obstrucción"/>
    <s v="TOBERIN"/>
    <s v="SOLUCIONADA"/>
    <n v="1502"/>
    <s v="Orden Solucionada_x000a_MDM-FIBRA-020022524_x000a_Se llega a predio, se habla con el usuario, se realiza validación y sondeo , se encontro obstruccion, se logra pasar lubricando ducteria, se realiza tendido desde la nap asignada, se pasa por 1 caja de paso que se encuentra en frente del apto 302 y 2 tomas del predio dejando en sitio indicado. se gastan 30 MTS de fibra de baja fricción. No se generan daños ni pérdidas durante la instalacion. Tecnico Jesus silva"/>
    <n v="30"/>
    <s v="N/A"/>
    <s v="N/A"/>
    <d v="2026-08-14T00:00:00"/>
    <x v="12"/>
    <x v="3"/>
    <s v="CARRO"/>
  </r>
  <r>
    <s v="AGOSTO"/>
    <s v="MDM-FIBRA-020067643"/>
    <x v="0"/>
    <x v="0"/>
    <s v="CC-1024525584"/>
    <s v="MARIO RODOLFO ACOSTA NAVARRETE"/>
    <s v="KR 59B BIS 128B 11 BQ 1 IN 6"/>
    <s v="ZTE-CONECTAR"/>
    <s v="observación: Se evidencia que no hay comunicación de la caja al apartamento"/>
    <s v="SUBA"/>
    <s v="APLAZAMIENTO"/>
    <n v="1502"/>
    <s v="Aplazamiento_x000a_MDM-FIBRA-020067643_x000a_Cuadrilla en predio, se marca a contacto, cliente indica que no sabia de la viista, solicita reprogramar para el dia sabado 22-08 en am"/>
    <s v="N/A"/>
    <s v="N/A"/>
    <s v="N/A"/>
    <d v="2026-08-14T00:00:00"/>
    <x v="12"/>
    <x v="1"/>
    <s v="CARRO"/>
  </r>
  <r>
    <s v="AGOSTO"/>
    <s v="MDM-FIBRA-020071338"/>
    <x v="1"/>
    <x v="1"/>
    <s v="CC-52662699"/>
    <s v="YUDY CARINE MATIZ DELGADO"/>
    <s v="CL 71 10 48 AP 101"/>
    <s v="ZTE-NETWORKING"/>
    <s v="se valida ruta de acceso a predio presenta obstrucción"/>
    <s v="CHICO"/>
    <s v="APLAZAMIENTO"/>
    <n v="1502"/>
    <s v="*Aplazamiento*_x000a_MDM-FIBRA-020071338_x000a_Cuadrilla en predio, se marca a contacto, cliente indica que no puede atender, solicita reprogramar para el dia 19-08 en am _x000a_"/>
    <s v="N/A"/>
    <s v="N/A"/>
    <s v="N/A"/>
    <d v="2026-08-14T00:00:00"/>
    <x v="12"/>
    <x v="2"/>
    <s v="MOTO"/>
  </r>
  <r>
    <s v="AGOSTO"/>
    <s v="MDM-FIBRA-019981684"/>
    <x v="0"/>
    <x v="0"/>
    <s v="CC-1117551074"/>
    <s v="YUBELY BASTIDAS QUINTERO"/>
    <s v="DG 49 SUR 86 40 CA 329"/>
    <s v="ZTE-CONECTAR"/>
    <s v="Se evidencia que la ductería esta obstruida, no pasa sonda"/>
    <s v="HOLANDA"/>
    <s v="APLAZAMIENTO"/>
    <n v="1502"/>
    <s v="*Aplazamiento*_x000a_MDM-FIBRA-019981684_x000a_NO se finaliza validacion, cliente indica que no puede seguir atendiendo, solicita reprogramar para el dia 22-08 en am. Se marca a contacto cliente YUBELY BASTIDAS  confirma informacion. "/>
    <s v="N/A"/>
    <s v="N/A"/>
    <s v="N/A"/>
    <d v="2026-08-14T00:00:00"/>
    <x v="12"/>
    <x v="0"/>
    <s v="CARRO"/>
  </r>
  <r>
    <s v="AGOSTO"/>
    <s v="MDM-FIBRA-020057352"/>
    <x v="0"/>
    <x v="0"/>
    <s v="CC-24187403"/>
    <s v="MARIA OFELIA CARDOZO DE MARTINEZ"/>
    <s v="KR 88I 52B 34 SUR TO 1 AP 501"/>
    <s v="ZTE-CONECTAR"/>
    <s v="Ducteria obstruida no pasa sonda, se requiere cuadrilla de quiebre"/>
    <s v="HOLANDA"/>
    <s v="NO VIABLE"/>
    <n v="1502"/>
    <s v="MDM-FIBRA-020057352_x000a_No contactado_x000a_Cuadrilla en predio, se marca a contacto sin respuesta, seguridad no da informacion"/>
    <s v="N/A"/>
    <s v="N/A"/>
    <s v="N/A"/>
    <d v="2026-08-15T00:00:00"/>
    <x v="12"/>
    <x v="0"/>
    <s v="CARRO"/>
  </r>
  <r>
    <s v="AGOSTO"/>
    <s v="MDM-FIBRA-019823014"/>
    <x v="1"/>
    <x v="1"/>
    <s v="CC-51959383"/>
    <s v="MARIA INES LEMUS TORRES"/>
    <s v="KR 19A 122 75 AP 202"/>
    <s v="ZTE-COLVATEL"/>
    <s v="se evidencia ducteria con complejidad en obstrucción"/>
    <s v="CHICO"/>
    <s v="NO VIABLE"/>
    <n v="1502"/>
    <s v="MDM-FIBRA-019823014_x000a_No contactado_x000a_Cuadrilla en predio, se marca a contacto sin respuesta. Seguridad indica que no nadie responde"/>
    <s v="N/A"/>
    <s v="N/A"/>
    <s v="N/A"/>
    <d v="2026-08-15T00:00:00"/>
    <x v="12"/>
    <x v="2"/>
    <s v="MOTO"/>
  </r>
  <r>
    <s v="AGOSTO"/>
    <s v="MDM-FIBRA-020067543"/>
    <x v="0"/>
    <x v="0"/>
    <s v="CC-7362822"/>
    <s v="DEVIS GUANAY"/>
    <s v="KR 78A 84B 53 SUR CA 116"/>
    <s v="ZTE-CONECTAR"/>
    <s v="observación: Se evidencia que la ducteria esta tapada, no pasa sonda"/>
    <s v="HOLANDA"/>
    <s v="NO VIABLE"/>
    <n v="1502"/>
    <s v="Orden No viable_x000a_MDM-FIBRA-020067543_x000a_Se ingresa al cliente, se validan tomas telefónicas y caja de distribución en fachada, se realiza sondeo de ductos y se encuentra obstrucción de la caja de fachada hacia la caja de distribución en anden a cuatro mts; se realiza sondeo de caja de distribución en anden hacia la caja en fachada y la sonda se queda a 8 MTS y no llega. Se valida ruta por fachada pero administración no permite red externa. No se generan daños ni pérdidas durante la validacion. autoriza supervisor yeison martinez."/>
    <s v="N/A"/>
    <s v="N/A"/>
    <s v="N/A"/>
    <d v="2026-08-15T00:00:00"/>
    <x v="12"/>
    <x v="4"/>
    <s v="CARRO"/>
  </r>
  <r>
    <s v="AGOSTO"/>
    <s v="MDM-FIBRA-020040225"/>
    <x v="0"/>
    <x v="0"/>
    <s v="CC-52701656"/>
    <s v="LUZ MARINA CAMPIÑO CORRALES"/>
    <s v="TV 88A 73 42 SUR"/>
    <s v="ZTE-CONECTAR"/>
    <s v="Ducteria saturada no pasa la sonda se requiere apoyo de cuadrialla"/>
    <s v="HOLANDA"/>
    <s v="NO VIABLE"/>
    <n v="1502"/>
    <s v="MDM-FIBRA-020040225_x000a_No contactado_x000a_Cuadrilla en predio, se marca a contactos sin respuesta, se golpea nadie sale."/>
    <s v="N/A"/>
    <s v="N/A"/>
    <s v="N/A"/>
    <d v="2026-08-15T00:00:00"/>
    <x v="12"/>
    <x v="4"/>
    <s v="CARRO"/>
  </r>
  <r>
    <s v="AGOSTO"/>
    <s v="MDM-FIBRA-020072831"/>
    <x v="1"/>
    <x v="1"/>
    <s v="CC-41667474"/>
    <s v="NOHORA CONSUELO MORENO RINCON"/>
    <s v="KR 13 116 05 AP 402"/>
    <s v="ZTE-NETWORKING"/>
    <s v=" se valida ruta de acceso a predio presenta obstrucción"/>
    <s v="CHICO"/>
    <s v="APLAZAMIENTO"/>
    <n v="1502"/>
    <s v="Aplazamiento_x000a_MDM-FIBRA-020072831_x000a_Cuadrilla en predio, se marca a contacto, cliente indica que se encuentra fuera de la ciudad, solicita reprogramar para el dia 29-08 en am"/>
    <s v="N/A"/>
    <s v="N/A"/>
    <s v="N/A"/>
    <d v="2026-08-15T00:00:00"/>
    <x v="12"/>
    <x v="2"/>
    <s v="MOTO"/>
  </r>
  <r>
    <s v="AGOSTO"/>
    <s v="MDM-FIBRA-020078922"/>
    <x v="0"/>
    <x v="0"/>
    <s v="CC-1079263111"/>
    <s v="CARMEN ELENA URREGO HIDALGO"/>
    <s v="KR 114 148 65 IN 1 AP 402"/>
    <s v="ZTE-CONECTAR"/>
    <s v="Se evidencia que la ducteria esta tapada y no pasa sonda"/>
    <s v="SUBA"/>
    <s v="SOLUCIONADA"/>
    <n v="1502"/>
    <s v="Orden Solucionada_x000a_MDM-FIBRA-020078922_x000a_Se llega a predio, se habla con el usuario el cual autoriza realizar validación, no hay comunicación de apartamento hacia pasillo, se busca ruta alterna por fachada. se tiende fibra desde la ct que queda en caja de paso de pasillo en piso 2. se baja a piso 1, se saca a entrada del bloque, se envía por 6 cajas de paso peatonal (canalizado) y 3 murales. se le da la vuelta al bloque a llegar a la parte de atrás, sube por canaleta existente, se ingresa a predio por perforación realizada, se figura por alcoba 1, se llega a cuarto de estudio y se deja en punto requerido potr el cliente. se gastan 110 mts de baja fricción. No se generan daños ni pérdidas durante la instalacion. Tecnico cesar hernandez"/>
    <n v="110"/>
    <s v="N/A"/>
    <s v="N/A"/>
    <d v="2026-08-14T00:00:00"/>
    <x v="12"/>
    <x v="1"/>
    <s v="CARRO"/>
  </r>
  <r>
    <s v="AGOSTO"/>
    <s v="MDM-FIBRA-020054628"/>
    <x v="0"/>
    <x v="0"/>
    <s v="CC-52906770"/>
    <s v="MARIA ISABEL RINCÓN OSPINO"/>
    <s v="KR 54 137 09 IN 40"/>
    <s v="ZTE-COLVATEL"/>
    <s v=" se evidencia ducteria tapada"/>
    <s v="TOBERIN"/>
    <s v="NO VIABLE"/>
    <n v="1502"/>
    <s v="Orden No viable_x000a_MDM-FIBRA-020054628_x000a_En validacion se encontro que desde toma de teléfono hay una obstrucción. Se encuentra un cable de otro operador, se intenta jalar ya que está cortado pero tampoco se mueve el cable, es un cable de figura 8 de otro operador, s elubrica ducteria, se sondeo de nuevo pero no se logra pasar. se valida citofonía pero cliente no autoriza cableado por fuera. No se generan daños ni pérdidas durante la validacion. autoriza supervisor yeison martinez."/>
    <s v="N/A"/>
    <s v="N/A"/>
    <s v="N/A"/>
    <d v="2026-08-15T00:00:00"/>
    <x v="12"/>
    <x v="3"/>
    <s v="CARRO"/>
  </r>
  <r>
    <s v="AGOSTO"/>
    <s v="MDM-FIBRA-020072725"/>
    <x v="1"/>
    <x v="1"/>
    <s v="CC-79234543"/>
    <s v="ANDRES RESTREPO LONDOÑO"/>
    <s v="CL 77 7 29 AP 801"/>
    <s v="ZTE-NETWORKING"/>
    <s v=" se valida ruta de acceso a predio se encuentra obstruccion se requiere cuadrilla de quiebre"/>
    <s v="CHICO"/>
    <s v="SOLUCIONADA"/>
    <n v="1502"/>
    <s v="Orden Solucionada_x000a_MDM-FIBRA-020072725_x000a_Se instalan 60 MTRS de drop de baja fricción desde la nap asignada en sótano hasta una caja de piso en piso 2, luego subimos al piso 8 ingresamos por ducto de telefonia hasta la toma principal,  pasamos a otra toma en la sala y de esta pasamos al estudio donde usuario solicita el servicio. No se generan daños ni pérdidas durante la instalacion. Tecnico edwin diaz"/>
    <n v="60"/>
    <s v="N/A"/>
    <s v="N/A"/>
    <d v="2026-08-18T00:00:00"/>
    <x v="12"/>
    <x v="2"/>
    <s v="MOTO"/>
  </r>
  <r>
    <s v="AGOSTO"/>
    <s v="MDM-FIBRA-020077568"/>
    <x v="0"/>
    <x v="0"/>
    <s v="CC-1076503685"/>
    <s v="ANDRES VALENTINO VARGAS VIUCHY"/>
    <s v="KR 48 106A 38 AP 106"/>
    <s v="ZTE-NETWORKING"/>
    <s v=" se valida ruta de acceso a predio se encuentra obstruccion se requiere cuadrilla de quiebre"/>
    <s v="CHICO"/>
    <s v="SOLUCIONADA"/>
    <n v="1502"/>
    <s v="Orden Solucionada_x000a_MDM-FIBRA-020077568_x000a_Se llega a predio, se habla con el usuario el cual autoriza realizar validación. Se evidencia ducteria obstruida, se aplica jabón líquido a las sondas y se realizan 2 pescas. Se tiende fibra desde la NAP que queda en sótano del parqueadero, se lleva por ducteria interna, pasando por 3 cajas de paso en techo y 1 mural. se ingresa a predio por toma principal de la sala y se deja en punto requerido. Se gastan 40 mts de Baja Fricción. No se generan daños ni pérdidas durante la instalacion. Tecnico cesar hernandez"/>
    <n v="40"/>
    <s v="N/A"/>
    <s v="N/A"/>
    <d v="2026-08-18T00:00:00"/>
    <x v="12"/>
    <x v="1"/>
    <s v="CARRO"/>
  </r>
  <r>
    <s v="AGOSTO"/>
    <s v="MDM-FIBRA-020068388"/>
    <x v="0"/>
    <x v="0"/>
    <s v="CC-1023884598"/>
    <s v="MARIA ANDREA RODRIGUEZ JOSA"/>
    <s v="KR 19 31F 21 SUR"/>
    <s v="ZTE-BFTEL"/>
    <s v="se evidencia que hay una obstrucción desde la caja de paso hacia  la caja de paso del siguiente piso , se sondea  y la sonda tranca  , se sondea viseversa  y tranca igualmente, la ruta va desde nap directamenteal apt"/>
    <s v="MUZU"/>
    <s v="NO VIABLE"/>
    <n v="1502"/>
    <s v="Orden No viable_x000a_MDM-FIBRA-020068388_x000a_Se realiza  validacion y sondeo desde caja telefonica saleindo a caja de paso en pasillo en techo, se debe llegar a la siguiente caja de paso, un piso hacia abajo ya que en esa caja esta la salida hacia la fachada, se evidencian 2 ductos con cable en su interior, los cables no se mueven se envía sonda ingresa 3mts y no avanza más, se realizó dondeo al siguiente ducto, la sonda ingreso  2mts y no avanza más. Tal vez los ductos están suelto en techo drywall. No se generan daños ni pérdidas durante la validacion. autoriza supervisor yeison martinez."/>
    <s v="N/A"/>
    <s v="N/A"/>
    <s v="N/A"/>
    <d v="2026-08-18T00:00:00"/>
    <x v="12"/>
    <x v="0"/>
    <s v="CARRO"/>
  </r>
  <r>
    <s v="AGOSTO"/>
    <s v="MDM-FIBRA-020082878"/>
    <x v="2"/>
    <x v="2"/>
    <s v="CC-1129484089"/>
    <s v="NICOLLE MICHEL MIRANDA"/>
    <s v="CL 54C SUR 86B 21 CA 74"/>
    <s v="ZTE-CONECTAR"/>
    <s v="Se evidencia que no hay viabilidad ya que las cajas estan tapadas por remodelación "/>
    <s v="HOLANDA"/>
    <s v="NO VIABLE"/>
    <n v="1502"/>
    <s v="No viable//Se evidencia que no hay viabilidad ya que las cajas estan tapadas por remodelación "/>
    <s v="N/A"/>
    <s v="N/A"/>
    <s v="N/A"/>
    <d v="2026-08-18T00:00:00"/>
    <x v="12"/>
    <x v="5"/>
    <s v="N/A"/>
  </r>
  <r>
    <s v="AGOSTO"/>
    <s v="MDM-FIBRA-020071338"/>
    <x v="1"/>
    <x v="1"/>
    <s v="CC-52662699"/>
    <s v="YUDY CARINE MATIZ DELGADO"/>
    <s v="CL 71 10 48 AP 101"/>
    <s v="ZTE-NETWORKING"/>
    <s v="se valida ruta de acceso a predio presenta obstrucción"/>
    <s v="CHICO"/>
    <s v="SOLUCIONADA"/>
    <n v="1502"/>
    <s v="Orden Solucionada_x000a_MDM-FIBRA-020071338_x000a_Se instalan 40 MTRS de drop de baja fricción desde el furukawa asignada en sótano,  pasando por tres cajas en sótano para enviar por ducto hasta una entrada en el piso del sótano, subiendo al predio y por canaleta existente hasta el punto indicado por usuaria .se evidencia que hay dos operadores ETB fibra existente rota en pdp y claro ingresando por fachada. No se generan daños ni pérdidas durante la instalacion. Tecnico edwin diaz usuario solicita visita el dia de hoy"/>
    <n v="40"/>
    <s v="N/A"/>
    <s v="N/A"/>
    <d v="2026-08-14T00:00:00"/>
    <x v="13"/>
    <x v="2"/>
    <s v="MOTO"/>
  </r>
  <r>
    <s v="AGOSTO"/>
    <s v="MDM-FIBRA-020084153"/>
    <x v="0"/>
    <x v="0"/>
    <s v="CC-80032288"/>
    <s v="FREDY YESID GONZALEZ ESTUPIÑAN"/>
    <s v="KR 110A 88 30"/>
    <s v="ZTE-COLVATEL"/>
    <s v="se valida única ruta de acceso a predio presenta obstrucción"/>
    <s v="BACHUE"/>
    <s v="NO VIABLE"/>
    <n v="1502"/>
    <s v="MDM-FIBRA-020084153_x000a_No contactado_x000a_Cuadrilla en predio, cliente no responde a citofono, se marca a contacto sin respuesta.  3 era visita por parte de cuadrilla"/>
    <s v="N/A"/>
    <s v="N/A"/>
    <s v="N/A"/>
    <d v="2026-08-18T00:00:00"/>
    <x v="13"/>
    <x v="3"/>
    <s v="CARRO"/>
  </r>
  <r>
    <s v="AGOSTO"/>
    <s v="MDM-FIBRA-019996011"/>
    <x v="0"/>
    <x v="0"/>
    <s v="CC-13070147"/>
    <s v="OMAR ANDRES ACOSTA SARASTY"/>
    <s v="CL 24A 56 35 ET 2 IN 3 AP 1002"/>
    <s v="ZTE-BFTEL"/>
    <s v="no se puede realizar ya que se encuentra la ducteria obstruida de la caja de paso del apartamento hacia la caja de paso de la torre al parecer realizaron una remodelación y taparon la caja principal en el apartamento"/>
    <s v="CUNI"/>
    <s v="SOLUCIONADA"/>
    <n v="1501"/>
    <s v="Orden Solucionada_x000a_MDM-FIBRA-019996011_x000a_Se llega a predio, se habla con el usuario, se realiza validación y se busca la ruta desde la nap se pasa por 1 caja de paso que se encuentra en frente del apto 1002 y 2 tomas del predio. se deja fibra en punta en la nap (pdp que se encuentra en dicha caja) y de alli hasta donde se va a dejar el punto.  Se gastan 50 MTS de fibra de baja fricción. No se generan daños ni pérdidas durante la instalacion. Tecnico Jesus silva"/>
    <n v="50"/>
    <s v="N/A"/>
    <s v="N/A"/>
    <d v="2026-08-18T00:00:00"/>
    <x v="13"/>
    <x v="3"/>
    <s v="CARRO"/>
  </r>
  <r>
    <s v="AGOSTO"/>
    <s v="MDM-FIBRA-020076961"/>
    <x v="0"/>
    <x v="0"/>
    <s v="CC-1067593336"/>
    <s v="MARIA FERNANDA RUEDA PEREZ"/>
    <s v="DG 82C 75A 65 AP 511"/>
    <s v="ZTE-COLVATEL"/>
    <s v="se valida única ruta de acceso a predio presenta obstrucción entre cdp ruta compartida con demas operadores"/>
    <s v="BACHUE"/>
    <s v="SOLUCIONADA"/>
    <n v="1502"/>
    <s v="Orden Solucionada_x000a_MDM-FIBRA-020076961_x000a_HILADO_x000a_Se llega a predio, se validan tomas telefónicas y caja de distribución en pasillo, se realiza sondeo de ductos. Se realiza hilado desde el punto requerido por el cliente saliendo a la caja de distribución en pasillo y posteriormente bajando por cuatro cajas más llegando al primer piso, saliendo a la caja de distribución en anden; pasando por cuatro cajas más llegando a la caja de codensa donde se encuentra la nap asignada PRECONECTORIZADA El técnico instalador debe traer F.O preconectarizada de 100 MTS. No se generan daños ni pérdidas durante la instalacion. Tecnico Fredy corredor"/>
    <s v="N/A"/>
    <s v="N/A"/>
    <s v="N/A"/>
    <d v="2026-08-18T00:00:00"/>
    <x v="13"/>
    <x v="4"/>
    <s v="CARRO"/>
  </r>
  <r>
    <s v="AGOSTO"/>
    <s v="MDM-FIBRA-019970694"/>
    <x v="1"/>
    <x v="1"/>
    <s v="CC-52868272"/>
    <s v="ELIZABETH VALCARCEL ROJAS"/>
    <s v="CL 53 4 48 AP 702"/>
    <s v="ZTE-NETWORKING"/>
    <s v="Confirmado escalamiento causal ducteria obstruida No hay por donde  realizar  la instalación"/>
    <s v="CHICO"/>
    <s v="SOLUCIONADA"/>
    <n v="1502"/>
    <s v="solucionada por contratista//no aplica visita de cuadrilla"/>
    <s v="N/A"/>
    <s v="N/A"/>
    <s v="N/A"/>
    <d v="2026-08-18T00:00:00"/>
    <x v="13"/>
    <x v="2"/>
    <s v="MOTO"/>
  </r>
  <r>
    <s v="AGOSTO"/>
    <s v="MDM-FIBRA-020078125"/>
    <x v="0"/>
    <x v="0"/>
    <s v="CC-1026551379"/>
    <s v="YAMIT STIVEN PADILLA AMARIS"/>
    <s v="DG 61 SUR 20B 36 CA 190"/>
    <s v="ZTE-FODEN"/>
    <s v="no hay paso de la casa 193 a la 190 dónde va la instalación "/>
    <s v="MUZU"/>
    <s v="SOLUCIONADA"/>
    <n v="1502"/>
    <s v="Orden Solucionada_x000a_MDM-FIBRA-020078125_x000a_Se llega a predio, se habla con el usuario el cual autoriza realizar validación. se evidencia ducteria obstruida, se aplica jabón líquido, agua caliente y por último se realizan 2 pescas. se tiende fibra desde la nap, pasando por 2 cajas de paso peatonal (canalizado) y 2 murales. ingresa a predio por toma principal de la sala y se deja en punto requerido. Se gastan 70 mts de Baja Fricción. No se generan daños ni pérdidas durante la instalacion. Tecnico cesar hernandez"/>
    <n v="70"/>
    <s v="N/A"/>
    <s v="N/A"/>
    <d v="2026-08-18T00:00:00"/>
    <x v="13"/>
    <x v="1"/>
    <s v="CARRO"/>
  </r>
  <r>
    <s v="AGOSTO"/>
    <s v="MDM-FIBRA-020069546"/>
    <x v="0"/>
    <x v="0"/>
    <s v="CC-1098657505"/>
    <s v="FAVIAN ANDRES MORA HERNANDEZ"/>
    <s v="KR 95A 136 47 IN 13 AP 201"/>
    <s v="ZTE-CONECTAR"/>
    <s v=" observación: Se evidencia que la ductería esta obstruida, no pasa sonda"/>
    <s v="SUBA"/>
    <s v="SOLUCIONADA"/>
    <n v="1502"/>
    <s v="Orden Solucionada_x000a_MDM-FIBRA-020069546_x000a_Se ingresa al cliente, se validan tomas telefónicas y caja de distribución en pasillo, se realiza sondeo de ductos con dificultad por cables que obstruyen el paso, se valida ruta, se realiza  tendido de fibra óptica desde el punto requerido por el cliente saliendo a la caja de distribución en pasillo donde se encuentra la CP asignada. Se gasatan 15 mts de F.O de baja fricción. No se generan daños ni pérdidas durante la instalacion. Tecnico fredy corredor"/>
    <n v="15"/>
    <s v="N/A"/>
    <s v="N/A"/>
    <d v="2026-08-14T00:00:00"/>
    <x v="13"/>
    <x v="4"/>
    <s v="CARRO"/>
  </r>
  <r>
    <s v="AGOSTO"/>
    <s v="MDM-FIBRA-020078607"/>
    <x v="1"/>
    <x v="1"/>
    <s v="CC-24409534"/>
    <s v="ROSALBA ZULETA GOMEZ"/>
    <s v="CL 140 6 60 IN 2 AP 802"/>
    <s v="ZTE-NETWORKING"/>
    <s v=" se valida ruta de acceso a predio se encuentra obstruccion se envía sonda, avanza unos 10 metros, se tranca y no sigue, toca cablear desde pdp hasta apto"/>
    <s v="TOBERIN"/>
    <s v="SOLUCIONADA"/>
    <n v="1502"/>
    <s v="*Orden Solucionada*_x000a_MDM-FIBRA-020078607_x000a_Se instalan 45 MTRS de drop de baja fricción desde la caja de paso, por ducto de telefonía enviamos el drop hasta una caja de paso dentro del predio hasta la toma de la sala, luego pasamos a la toma de TV por otra toma en otra habitación,  subimos al muro por toma de TV y asi pasamos a la habitación principal, se deja reserva ya que persona encargada no sabe donde dejar el punto. No se generan daños ni pérdidas durante la instalacion. Tecnico edwin diaz"/>
    <n v="45"/>
    <s v="N/A"/>
    <s v="N/A"/>
    <d v="2026-08-18T00:00:00"/>
    <x v="13"/>
    <x v="2"/>
    <s v="MOTO"/>
  </r>
  <r>
    <s v="AGOSTO"/>
    <s v="MDM-FIBRA-020068332"/>
    <x v="0"/>
    <x v="0"/>
    <s v="CC-1023916511"/>
    <s v="MARIA PAULA DOMINGUEZ VELEZ"/>
    <s v="CL 57H SUR 68D 75 TO 4 AP 1209"/>
    <s v="ZTE-FODEN"/>
    <s v="no pasa la sonda y no hay guia"/>
    <s v="MUZU"/>
    <s v="APLAZAMIENTO"/>
    <n v="1502"/>
    <s v="Aplazamiento_x000a_MDM-FIBRA-020068332_x000a_Cuadrilla en predio se marca a contacto,  sra MARIA PAULA DOMINGUEZ VELEZ indica que no puede atender, solicita reprogramar para el dia lunes 24-08 en am."/>
    <s v="N/A"/>
    <s v="N/A"/>
    <s v="N/A"/>
    <d v="2026-08-18T00:00:00"/>
    <x v="13"/>
    <x v="0"/>
    <s v="CARRO"/>
  </r>
  <r>
    <s v="AGOSTO"/>
    <s v="MDM-FIBRA-020085180"/>
    <x v="0"/>
    <x v="0"/>
    <s v="CC-52821747"/>
    <s v="LEIDY VIVIANA HURTADO PIRAQUIVE"/>
    <s v="DG 67B SUR 23 15 MZ H CA 15"/>
    <s v="ZTE-FODEN"/>
    <s v="Ducteria obstruida se valida en predio de tt y se le  informa "/>
    <s v="MUZU"/>
    <s v="SOLUCIONADA"/>
    <n v="1502"/>
    <s v="Orden Solucionada_x000a_MDM-FIBRA-020085180_x000a_Se realiza validación y sondeo desde caja telefonica saliendo a caja de paso en fachada, se va por ducto hasta caja de paso en piso sigue por 5 cajas más hasta llegar a la nap asignada.  En predio se deja donde es requerido. Se gastan 105 Mts Baja Fricción. No se generan daños ni pérdidas durante la instalacion. Tecnico Luis hoyos"/>
    <n v="105"/>
    <s v="N/A"/>
    <s v="N/A"/>
    <d v="2026-08-18T00:00:00"/>
    <x v="13"/>
    <x v="0"/>
    <s v="CARRO"/>
  </r>
  <r>
    <s v="AGOSTO"/>
    <s v="MDM-FIBRA-020069726"/>
    <x v="0"/>
    <x v="0"/>
    <s v="CC-1031155065"/>
    <s v="JEISON CAMILO RODRIGUEZ CORREA"/>
    <s v="KR 113C 142A 90 BQ 1 AP 401"/>
    <s v="ZTE-CONECTAR"/>
    <s v=" Se evidencia que no hay comunicación entre la nap y las cajas de paso "/>
    <s v="SUBA"/>
    <s v="CANCELADA"/>
    <n v="1502"/>
    <s v="Orden Cancelada_x000a_MDM-FIBRA-020069726_x000a_Cuadrilla en predio, se marca a contacto, sr JEISON CAMILO RODRIGUEZ CORREA indica que decidió cancelar el servicio, debido a que en visita anterior le indicaron que instalacion no se podia realizar."/>
    <s v="N/A"/>
    <s v="N/A"/>
    <s v="N/A"/>
    <d v="2026-08-18T00:00:00"/>
    <x v="13"/>
    <x v="4"/>
    <s v="CARRO"/>
  </r>
  <r>
    <s v="AGOSTO"/>
    <s v="MDM-FIBRA-020085841"/>
    <x v="0"/>
    <x v="0"/>
    <s v="CC-1032358172"/>
    <s v="HAFRIT RUYARDY MARTINEZ MORALES"/>
    <s v="CL 13 SUR 8 34 AP 106"/>
    <s v="ZTE-BFTEL"/>
    <s v=" obstrucción caja de pasillo a toma principal de teléfono único ingreso, sonda tranca, sin cables, por citofono no permiten figurar, TV por canaleta externa"/>
    <s v="SANTA INES"/>
    <s v="APLAZAMIENTO"/>
    <n v="1501"/>
    <s v="Aplazamiento_x000a_MDM-FIBRA-020085841_x000a_Se realiza validación de ruta desde la PDP que queda en caja de paso de pasillo dándole la vuelta por el parqueadero y salir a patio del predio. Cliente debe salir Pide reagendar para el Viernes 21/02/2026 8 AM. Se marca a contacto, confirma informacion."/>
    <s v="N/A"/>
    <s v="N/A"/>
    <s v="N/A"/>
    <d v="2026-08-18T00:00:00"/>
    <x v="13"/>
    <x v="1"/>
    <s v="CARRO"/>
  </r>
  <r>
    <s v="AGOSTO"/>
    <s v="MDM-FIBRA-020086500"/>
    <x v="0"/>
    <x v="0"/>
    <s v="CC-1007627425"/>
    <s v="JUAN DAVID MORENO"/>
    <s v="CL 13 79C 11 TO 10 AP 203"/>
    <s v="ZTE-COLVATEL"/>
    <s v="realiza validación, encuentra obstrucción entre cajas de paso, yo a cablear de pto hasta nap."/>
    <s v="FONTIBON"/>
    <s v="APLAZAMIENTO"/>
    <n v="1502"/>
    <s v="Aplazamiento_x000a_MDM-FIBRA-020086500_x000a_No se finaliza validacion, personal de mantenimiento se debe retirar, cliente solicita continuar el dia 21-08 en am"/>
    <s v="N/A"/>
    <s v="N/A"/>
    <s v="N/A"/>
    <d v="2026-08-18T00:00:00"/>
    <x v="13"/>
    <x v="3"/>
    <s v="CARRO"/>
  </r>
  <r>
    <s v="AGOSTO"/>
    <s v="MDM-FIBRA-020084732"/>
    <x v="0"/>
    <x v="0"/>
    <s v="CC-1016101982"/>
    <s v="SANTIAGO ALEJANDRO GONZALEZ ACEVEDO"/>
    <s v="KR 90A 45A 05 SUR ET 4 CA 71"/>
    <s v="ZTE-CONECTAR"/>
    <s v="Ductos obstruido, se solicita cuadrilla de quiebres."/>
    <s v="HOLANDA"/>
    <s v="NO VIABLE"/>
    <n v="1502"/>
    <s v="Orden No viable_x000a_MDM-FIBRA-020084732_x000a_Se llega a predio, se habla con el usuario el cual autoriza realizar validación. Se evidencia ducteria telefonica obstruida, se aplica jabón líquido y agua caliente; se trata de realizar pesca pero las sondas no se encuentran. Se realiza sondeo de adentro hacia afuera y Sonda tranca a 10 mts, de afuera hacia adentro y Sonda avanza 15 mts. Se evidencia q sacaron el Neopren antiguo el cual se rompió y es lo q esta generando la obstrucción la cual no se logra quitar. Se valida x toma de tv, pero en la parte externa se busco 1 cuadra hacia arriba y 1 hacia abajo pero no se encuentra comunicación entre cajas de Codensa con ETB internas dentro del Conjunto. Única ruta de acceso de predio hacia la NAP. No se generan daños ni pérdidas durante la validacion. autoriza supervisor yeison martinez."/>
    <s v="N/A"/>
    <s v="N/A"/>
    <s v="N/A"/>
    <d v="2026-08-18T00:00:00"/>
    <x v="13"/>
    <x v="1"/>
    <s v="CARRO"/>
  </r>
  <r>
    <s v="AGOSTO"/>
    <s v="MDM-FIBRA-019960404"/>
    <x v="2"/>
    <x v="2"/>
    <s v="CC-80164292"/>
    <s v="RICHAR NICZON FLOREZ GARZON"/>
    <s v="KR 16C 63B 25 SUR"/>
    <s v="ZTE-BFTEL"/>
    <s v="la Nap  asignada se encuentra a más de 250 metros que es lo autorizado por interventoría de ETB, se envia hacer cambio de nap pero las naps cercanas estan copadas, por tal motivo no se puede realizar el aprovisionamiento"/>
    <s v="MUZU"/>
    <s v="NO VIABLE"/>
    <n v="1502"/>
    <s v="No viable//la Nap  asignada se encuentra a más de 250 metros que es lo autorizado por interventoría de ETB, se envia hacer cambio de nap pero las naps cercanas estan copadas, por tal motivo no se puede realizar el aprovisionamiento"/>
    <s v="N/A"/>
    <s v="N/A"/>
    <s v="N/A"/>
    <d v="2026-08-19T00:00:00"/>
    <x v="13"/>
    <x v="5"/>
    <s v="N/A"/>
  </r>
  <r>
    <s v="AGOSTO"/>
    <s v="MDM-FIBRA-020062477"/>
    <x v="2"/>
    <x v="2"/>
    <s v="CC-51961413"/>
    <s v="GLORIA JANNETH SACRISTAN MANOTAS"/>
    <s v="KR 78B 1 05 IN 20 AP 502"/>
    <s v="ZTE-FODEN"/>
    <s v="Ducteria obstruida "/>
    <s v="MUZU"/>
    <s v="NO VIABLE"/>
    <n v="1502"/>
    <s v="Gestionada Orden No viable_x000a_MDM-FIBRA-019861222_x000a_Se realiza validación y sondeo desde apto, no se evidencian tomas telefonicas, al respaldo de  apartamento se encuentra canaletas que bajan hacia zona verde, se encontraron 2 cajas cajas de paso donde las 2 llegan a una caja de condensa y de ahí pasa hacia la caja de etb. Se envía sonda la cual ingresa aproximadamente 7mts y no avanza más, de la caja de paso pasa a la caja de condensa, la sonda se escucha golpear en la mitad de la zona verde. No se generan daños ni pérdidas durante la validacion. autoriza supervisor yeison martinez."/>
    <s v="N/A"/>
    <s v="N/A"/>
    <s v="N/A"/>
    <d v="2026-08-19T00:00:00"/>
    <x v="13"/>
    <x v="5"/>
    <s v="N/A"/>
  </r>
  <r>
    <s v="AGOSTO"/>
    <s v="MDM-FIBRA-020073715"/>
    <x v="0"/>
    <x v="0"/>
    <s v="CC-1110474945"/>
    <s v="JAIME ALBERTO ROJAS PATERNINA"/>
    <s v="KR 7 43 33 AP 308"/>
    <s v="ZTE-BFTEL"/>
    <s v=" Se evidencia que hay una obstrucción desde la caja de paso hacia  el apt , se sondea  y la sonda tranca  , se sondea viseverda  y tranca igualmente, la ruta va desde la caja de paso directamenteal apt"/>
    <s v="CUNI"/>
    <s v="NO VIABLE"/>
    <n v="1501"/>
    <s v="Orden No viable_x000a_MDM-FIBRA-020073715_x000a_Se llega a predio, se habla con el usuario el cual autoriza realizar validación. Se evidencia ducteria obstruida, se aplica jabón líquido y agua caliente dentro del predio y en caja de paso de pasillo. se realiza sondeo de adentro hacia afuera y sonda tranca a los 6 mts, de afuera hacia adentro sonda avanza solo 8 mts. se realiza pesca y sondas no se encuentran. citofonia ingresa por medio de las cocinas de todos los apartamentos, tomas de tv no tienen comunicación con etb. no permiten cables figurados por zonas comunes. No se generan daños ni pérdidas durante la validacion. autoriza supervisor yeison martinez."/>
    <s v="N/A"/>
    <s v="N/A"/>
    <s v="N/A"/>
    <d v="2026-08-18T00:00:00"/>
    <x v="14"/>
    <x v="1"/>
    <s v="CARRO"/>
  </r>
  <r>
    <s v="AGOSTO"/>
    <s v="MDM-FIBRA-020069581"/>
    <x v="0"/>
    <x v="0"/>
    <s v="CC-1037977145"/>
    <s v="YIJANA TORRES ESPINOZA"/>
    <s v="CL 93 0 50 TO 1 AP 902"/>
    <s v="ZTE-NETWORKING"/>
    <s v="ducteria obstruida no se mueve los cables ya que son de claro y les echaron vaselina la sonda ingresan como 7 metros pero se atranca "/>
    <s v="CHICO"/>
    <s v="SOLUCIONADA"/>
    <n v="1502"/>
    <s v="Orden Solucionada_x000a_MDM-FIBRA-020069581_x000a_Se llega a predio, se habla con el usuario, se realiza validación y se busca la ruta desde la nap asignada se pasa por 1 caja de paso que se encuentra en frente del apto 902 y 2 tomas del predio. se deja fibra en punta ( tecnico debe dejar pdp en dicha caja) y de alli hasta donde se va a dejar el punto.  Se gastan 30 MTS de fibra de baja fricción. No se generan daños ni pérdidas durante la instalacion. Tecnico jesus silva"/>
    <n v="30"/>
    <s v="N/A"/>
    <s v="N/A"/>
    <d v="2026-08-18T00:00:00"/>
    <x v="14"/>
    <x v="3"/>
    <s v="CARRO"/>
  </r>
  <r>
    <s v="AGOSTO"/>
    <s v="MDM-FIBRA-020041740"/>
    <x v="0"/>
    <x v="0"/>
    <s v="CC-52436909"/>
    <s v="DIANA CAROLINA LUNA HENAO"/>
    <s v="KR 19C 88 12 AP 401"/>
    <s v="ZTE-NETWORKING"/>
    <s v="Por favor escalar 1502 se valida ruta de acceso a predio presenta obstrucción"/>
    <s v="CHICO"/>
    <s v="SOLUCIONADA"/>
    <n v="1502"/>
    <s v="solucionada por contratista//no aplica visita de cuadrilla"/>
    <s v="N/A"/>
    <s v="N/A"/>
    <s v="N/A"/>
    <d v="2026-08-18T00:00:00"/>
    <x v="14"/>
    <x v="3"/>
    <s v="CARRO"/>
  </r>
  <r>
    <s v="AGOSTO"/>
    <s v="MDM-FIBRA-020006565"/>
    <x v="0"/>
    <x v="0"/>
    <s v="CC-28032201"/>
    <s v="MARIA TERESA QUIROGA ARGUELLO"/>
    <s v="TV 93 52A 21"/>
    <s v="ZTE-COLVATEL"/>
    <s v="obstrucción entre cajas de paso de predio a caja de comunicación exterior del predio"/>
    <s v="FONTIBON"/>
    <s v="NO APLICA VISITA"/>
    <n v="1502"/>
    <s v="No aplica visita_x000a_Suspensión errada_x000a_MDM-FIBRA-020006565_x000a_En validación se encontró que predio no cuenta con posteria de apoyo ni cajas de distribución que nos comuniquen con la nap externa en cámara. No se generan daños ni pérdidas durante la validación. autoriza supervisor yeison martinez."/>
    <s v="N/A"/>
    <s v="N/A"/>
    <s v="N/A"/>
    <d v="2026-08-18T00:00:00"/>
    <x v="14"/>
    <x v="4"/>
    <s v="CARRO"/>
  </r>
  <r>
    <s v="AGOSTO"/>
    <s v="MDM-FIBRA-020083632"/>
    <x v="1"/>
    <x v="1"/>
    <s v="CC-80425642"/>
    <s v="CARLOS ANDRES AMAYA MEDINA"/>
    <s v="KR 8 79 17 AP 701"/>
    <s v="ZTE-NETWORKING"/>
    <s v="Hay tres cables dos de coaxial y uno de utp se envia sonda no acanza ni 4 metros y las guias no se mueven para nada"/>
    <s v="CHICO"/>
    <s v="SOLUCIONADA"/>
    <n v="1502"/>
    <s v="Orden Solucionada_x000a_MDM-FIBRA-020083632_x000a_Se instalan 24 mtrs de drop de baja fricción desde el estudio donde solicitan el servicio, seguimos drop por ducto de telefonía hasta la toma ubicada en habitación de servicio,  luego pasamos a la caja de paso donde dejamos reserva. Para instalar el punto debe instalar  pdp o bajar el drop al otro piso. hay cableado existente para posibles puntos periféricos. No se generan daños ni pérdidas durante la instalacion."/>
    <n v="24"/>
    <s v="N/A"/>
    <s v="N/A"/>
    <d v="2026-08-19T00:00:00"/>
    <x v="14"/>
    <x v="2"/>
    <s v="MOTO"/>
  </r>
  <r>
    <s v="AGOSTO"/>
    <s v="MDM-FIBRA-020089781"/>
    <x v="0"/>
    <x v="0"/>
    <s v="CC-1043149776"/>
    <s v="JOSHUA DAVID ALVAREZ"/>
    <s v="KR 88 6 32 IN 26 AP 203"/>
    <s v="ZTE-COLVATEL"/>
    <s v="no conseguimos pasar la sonda desde la nap asignada hasta el strip ya que se encuentra tapado de barro el ducto"/>
    <s v="FONTIBON"/>
    <s v="NO VIABLE"/>
    <n v="1501"/>
    <s v="MDM-FIBRA-020089781_x000a_No contactado_x000a_Cuadrilla en predio se marca a contactos sin respuesta, seguridad indica que no hay nadie."/>
    <s v="N/A"/>
    <s v="N/A"/>
    <s v="N/A"/>
    <d v="2026-08-19T00:00:00"/>
    <x v="14"/>
    <x v="4"/>
    <s v="CARRO"/>
  </r>
  <r>
    <s v="AGOSTO"/>
    <s v="MDM-FIBRA-020083366"/>
    <x v="1"/>
    <x v="1"/>
    <s v="CC-20211053"/>
    <s v="MARIA REBECA ECHEVERRI CHAUX"/>
    <s v="DG 74B 6 66 AP 303"/>
    <s v="ZTE-NETWORKING"/>
    <s v="ducteria obstruida en ingreso a predio "/>
    <s v="CHICO"/>
    <s v="SOLUCIONADA"/>
    <n v="1502"/>
    <s v="Orden Solucionada_x000a_MDM-FIBRA-020083366_x000a_Se instalan 21 MTRS de drop de baja fricción desde la caja de paso por ducto de telefonía enviamos el drop hasta la toma principal en el estudio donde usuario solicita el servicio. No se generan daños ni pérdidas durante la instalacion. Tecnico Edwin diaz"/>
    <n v="21"/>
    <s v="N/A"/>
    <s v="N/A"/>
    <d v="2026-08-19T00:00:00"/>
    <x v="14"/>
    <x v="2"/>
    <s v="MOTO"/>
  </r>
  <r>
    <s v="AGOSTO"/>
    <s v="MDM-FIBRA-020075105"/>
    <x v="0"/>
    <x v="0"/>
    <s v="CC-1010041986"/>
    <s v="LAURA XIMENA CASALLAS RAMIREZ"/>
    <s v="KR 119 77 75 TO 1 AP 803"/>
    <s v="ZTE-COLVATEL"/>
    <s v="se valida obstruccion entre cdp única ruta de acceso a predio cables existentes no se mueven"/>
    <s v="BACHUE"/>
    <s v="SOLUCIONADA"/>
    <n v="1502"/>
    <s v="Orden Solucionada_x000a_MDM-FIBRA-020075105_x000a_Se ingresa al cliente y se validan tomas telefónicas y caja de distribución en pasillo, se realiza sondeo de ductos, se realiza el tendido de fibra óptica desde el punto requerido por el cliente saliendo a la caja de distribución en pasillo donde se encuentra la CP asignada. Se gastan 30 MTS de F.O de baja fricción. No se generan daños ni pérdidas durante la instalacion. Tecnico Fredy corredor"/>
    <n v="30"/>
    <s v="N/A"/>
    <s v="N/A"/>
    <d v="2026-08-19T00:00:00"/>
    <x v="14"/>
    <x v="4"/>
    <s v="CARRO"/>
  </r>
  <r>
    <s v="AGOSTO"/>
    <s v="MDM-FIBRA-020079365"/>
    <x v="0"/>
    <x v="0"/>
    <s v="CC-51966187"/>
    <s v="DORIS OTALORA SANCHEZ"/>
    <s v="KR 14 1 05 BQ 3 AP 708"/>
    <s v="ZTE-BFTEL"/>
    <s v="obstrucción caja de pasillo a toma principal de teléfono, único ingreso, se evidencia adecuación en predio , claro"/>
    <s v="SANTA INES"/>
    <s v="NO VIABLE"/>
    <n v="1501"/>
    <s v="Orden No viable_x000a_MDM-FIBRA-020079365_x000a_Se llega a predio, se habla con el usuario el cual autoriza realizar validación. Se evidencia único toma visible en sala obstruida, toma de citofonia tapada  remodelacion en predio no hay toma de tv, todas las paredes están con estuco veneciano. no se encuentra ruta por terraza ya que el tubo de citofonia va hacia arriba no sale a terraza. no permiten cables figurados por zonas comunes. No se generan daños ni pérdidas durante la validacion. autoriza supervisor yeison martinez."/>
    <s v="N/A"/>
    <s v="N/A"/>
    <s v="N/A"/>
    <d v="2026-08-19T00:00:00"/>
    <x v="14"/>
    <x v="1"/>
    <s v="CARRO"/>
  </r>
  <r>
    <s v="AGOSTO"/>
    <s v="MDM-FIBRA-020055849"/>
    <x v="0"/>
    <x v="0"/>
    <s v="CC-79942682"/>
    <s v="RAUL EDUARDO PINILLA MORALES"/>
    <s v="KR 16 82 74 CN 505"/>
    <s v="ZTE-NETWORKING"/>
    <s v="se valida ruta de acceso a predio se encuentra obstruccion se requiere cuadrilla de quiebre"/>
    <s v="CHICO"/>
    <s v="NO VIABLE"/>
    <n v="1502"/>
    <s v="MDM-FIBRA-020055849_x000a_No contactado_x000a_Cuadrilla en predio, seguridad indica que no hay nadie, se marca a contactos sin respuesta"/>
    <s v="N/A"/>
    <s v="N/A"/>
    <s v="N/A"/>
    <d v="2026-08-19T00:00:00"/>
    <x v="14"/>
    <x v="3"/>
    <s v="CARRO"/>
  </r>
  <r>
    <s v="AGOSTO"/>
    <s v="MDM-FIBRA-020080608"/>
    <x v="0"/>
    <x v="0"/>
    <s v="CC-1020712489"/>
    <s v="SANDRA PATRICIA TORRES RANGEL"/>
    <s v="CL 52F SUR 24C 20 IN 3 AP 102"/>
    <s v="ZTE-BFTEL"/>
    <s v="rden no se puede realizar ya que se encuentra la ducteria obstruida de las camara que se encuentran al respaldo del apartamento para donde va la instalación no pasa la sonda se tranca a más o menos unos 6 metros"/>
    <s v="MUZU"/>
    <s v="SOLUCIONADA"/>
    <n v="1502"/>
    <s v="Orden Solucionada_x000a_MDM-FIBRA-020080608_x000a_Se  realiza validacion desde caja de paso en zona verde, cliente cuenta con perforación hacia esa caja, se envía sonda, se pasa por 7 cajas hasta llegar a la Furukawa.  En predio se deja reserva, ya que el cliente quiere validar mejor ubicacion. Se gastan 90 mts Baja Fricción. No se generan daños ni pérdidas durante la instalacion. Tecnico Luis hoyos"/>
    <n v="90"/>
    <s v="N/A"/>
    <s v="N/A"/>
    <d v="2026-08-19T00:00:00"/>
    <x v="14"/>
    <x v="0"/>
    <s v="CARRO"/>
  </r>
  <r>
    <s v="AGOSTO"/>
    <s v="MDM-FIBRA-020085263"/>
    <x v="0"/>
    <x v="0"/>
    <s v="CC-80102162"/>
    <s v="MARIO DAVID CABRERA ORTIZ"/>
    <s v="CL 20A 96 71 AP 1542"/>
    <s v="ZTE-COLVATEL"/>
    <s v="Validación, encuentra obstrucción entre cajas de paso toca cablear de pto hasta pdp "/>
    <s v="FONTIBON"/>
    <s v="SOLUCIONADA"/>
    <n v="1502"/>
    <s v="Orden Solucionada_x000a_MDM-FIBRA-020085263_x000a_Se ingresa al cliente, se validan tomas telefónicas y caja de distribución en pasillo. Se realiza tendido de fibra óptica desde el punto requerido por el cliente saliendo a la caja de distribución en pasillo donde se encuentra la CP asignada. Se gastan 30 MTS de F.O de baja fricción. No se generan daños ni pérdidas durante la instalacion. Tecnico Fredy corredor. No se encontro dificultad en el tendido"/>
    <n v="30"/>
    <s v="N/A"/>
    <s v="N/A"/>
    <d v="2026-08-19T00:00:00"/>
    <x v="14"/>
    <x v="4"/>
    <s v="CARRO"/>
  </r>
  <r>
    <s v="AGOSTO"/>
    <s v="MDM-FIBRA-020083696"/>
    <x v="0"/>
    <x v="0"/>
    <s v="CC-19451050"/>
    <s v="CARLOS HUMBERTO MORENO TORRES"/>
    <s v="KR 5 6B 51 IN 4 AP 502"/>
    <s v="ZTE-BFTEL"/>
    <s v="drop a nap piso 5 a sótano por foso que está en el bañó, se envía pesa, no pasa de el piso 2 a sótano, claro"/>
    <s v="SANTA INES"/>
    <s v="APLAZAMIENTO"/>
    <n v="1502"/>
    <s v="Aplazamiento_x000a_MDM-FIBRA-020083696_x000a_Cuadrilla en predio, clietne no repsonde citofono, se marca a contacto, cliente CARLOS HUMBERTO MORENO TORRES solicita reprogramar para el dia 25-08 en am"/>
    <s v="N/A"/>
    <s v="N/A"/>
    <s v="N/A"/>
    <d v="2026-08-19T00:00:00"/>
    <x v="14"/>
    <x v="1"/>
    <s v="CARRO"/>
  </r>
  <r>
    <s v="AGOSTO"/>
    <s v="MDM-FIBRA-020083791"/>
    <x v="0"/>
    <x v="0"/>
    <s v="CC-52899642"/>
    <s v="LADY JOHANA QUILAGUY TORRES"/>
    <s v="KR 27 29A 85 SUR AP 306"/>
    <s v="ZTE-BFTEL"/>
    <s v="obstrucción caja de pasillo a toma principal de teléfono único ingreso, se evidencia fibra atascada, sonda tranca, no cables figurados por área común"/>
    <s v="MUZU"/>
    <s v="APLAZAMIENTO"/>
    <n v="1501"/>
    <s v="Aplazamiento_x000a_MDM-FIBRA-020083791_x000a_Cuadrilla en predio, se marca a contacto sra LADY JOHANA QUILAGUY TORRES indica que no puede atender solicita reprogramar para el dia 22-08 en am."/>
    <s v="N/A"/>
    <s v="N/A"/>
    <s v="N/A"/>
    <d v="2026-08-19T00:00:00"/>
    <x v="14"/>
    <x v="0"/>
    <s v="CARRO"/>
  </r>
  <r>
    <s v="AGOSTO"/>
    <s v="MDM-FIBRA-020053891"/>
    <x v="1"/>
    <x v="1"/>
    <s v="NIT-900108600"/>
    <s v="CLE LTDA"/>
    <s v="KR 13 90 36 AP 704"/>
    <s v="ZTE-NETWORKING"/>
    <s v="se valida ruta de acceso a predio presenta obstrucción"/>
    <s v="CHICO"/>
    <s v="SOLUCIONADA"/>
    <n v="1502"/>
    <s v="*Orden Solucionada*_x000a_MDM-FIBRA-020053891_x000a_Se instalan 50 MTRS de drop de baja fricción desde la caja de paso del piso 2 donde técnico le informa al usuario que debemos dejar la reserva, de esta toma subimos al piso 7 por ducto principal subimos hasta la toma principal de la oficina donde dejamos reserva suficiente para la ubicación del servicio. No se generan daños ni pérdidas durante la instalacion. Tecnico edwin diaz"/>
    <n v="50"/>
    <s v="N/A"/>
    <s v="N/A"/>
    <d v="2026-08-19T00:00:00"/>
    <x v="14"/>
    <x v="2"/>
    <s v="MOTO"/>
  </r>
  <r>
    <s v="AGOSTO"/>
    <s v="MDM-FIBRA-020044271"/>
    <x v="2"/>
    <x v="2"/>
    <s v="CC-1019131974"/>
    <s v="WILLIAN DANIEL FAJARDO RAMIREZ"/>
    <s v="KR 30 30 85 SUR"/>
    <s v="ZTE-BFTEL"/>
    <s v="se  evidencia que para llevar la fibra hasta el predio se debe pasar por el techo del predio la cual no es autorizado ya que está en riesgo la integridad del técnico, es la única ruta autorizada por el Dueño del predio, se valida otra ruta pero tampoco es viable ya que si o si se debe pasar por los techos, dueño delnpredio no acepta cables a la vista, impidiendo asi la instalación del servicio"/>
    <s v="MUZU"/>
    <s v="NO VIABLE"/>
    <n v="1502"/>
    <s v="No viable//se  evidencia que para llevar la fibra hasta el predio se debe pasar por el techo del predio la cual no es autorizado ya que está en riesgo la integridad del técnico, es la única ruta autorizada por el Dueño del predio, se valida otra ruta pero tampoco es viable ya que si o si se debe pasar por los techos, dueño delnpredio no acepta cables a la vista, impidiendo asi la instalación del servicio"/>
    <s v="N/A"/>
    <s v="N/A"/>
    <s v="N/A"/>
    <d v="2026-08-20T00:00:00"/>
    <x v="14"/>
    <x v="5"/>
    <s v="N/A"/>
  </r>
  <r>
    <s v="AGOSTO"/>
    <s v="MDM-FIBRA-020083729"/>
    <x v="2"/>
    <x v="2"/>
    <s v="CC-1007645785"/>
    <s v="JUNIOR BALOY ESPAÑA BARREIRO"/>
    <s v="KR 81C 48 SUR 34"/>
    <s v="ZTE-COLVATEL"/>
    <s v=" la nap asignada se encuentra demasiado retirada del predio donde se va realizar la instalación, se valida cambio para dos NAP cercana pero no se logra ya que no poseen puertos libres"/>
    <s v="HOLANDA"/>
    <s v="NO VIABLE"/>
    <n v="1502"/>
    <s v="No viable// la nap asignada se encuentra demasiado retirada del predio donde se va realizar la instalación, se valida cambio para dos NAP cercana pero no se logra ya que no poseen puertos libres"/>
    <s v="N/A"/>
    <s v="N/A"/>
    <s v="N/A"/>
    <d v="2026-08-20T00:00:00"/>
    <x v="14"/>
    <x v="5"/>
    <s v="N/A"/>
  </r>
  <r>
    <s v="AGOSTO"/>
    <s v="MDM-FIBRA-020068962"/>
    <x v="2"/>
    <x v="2"/>
    <s v="NIT-830508023"/>
    <s v="PELOTA DE LETRAS LTDA S.A.S"/>
    <s v="CL 134A 9 51"/>
    <s v="ZTE-CONECTAR"/>
    <s v="se evidencia que la camara donde se debe instalar esta soldada , no hay viablidad para la instalacion "/>
    <s v="TOBERIN"/>
    <s v="NO VIABLE"/>
    <n v="1502"/>
    <s v="No viable//se evidencia que la camara donde se debe instalar esta soldada , no hay viablidad para la instalacion "/>
    <s v="N/A"/>
    <s v="N/A"/>
    <s v="N/A"/>
    <d v="2026-08-20T00:00:00"/>
    <x v="14"/>
    <x v="5"/>
    <s v="N/A"/>
  </r>
  <r>
    <s v="AGOSTO"/>
    <s v="MDM-FIBRA-020090743"/>
    <x v="0"/>
    <x v="0"/>
    <s v="CC-1020718271"/>
    <s v="MARIA VICTORIA LINARES BARRETO"/>
    <s v="CL 74 6 11 AP 1102"/>
    <s v="ZTE-NETWORKING"/>
    <s v="se valida ruta de acceso a predio se encuentra obstruccion se requiere cuadrilla de quiebre"/>
    <s v="CHICO"/>
    <s v="APLAZAMIENTO"/>
    <n v="1502"/>
    <s v="*Aplazamiento*_x000a_MDM-FIBRA-020090743_x000a_No se finalizan actividades por horario de administracion, cliente solicita continuar el dia 21-08 en am "/>
    <s v="N/A"/>
    <s v="N/A"/>
    <s v="N/A"/>
    <d v="2026-08-20T00:00:00"/>
    <x v="14"/>
    <x v="3"/>
    <s v="CARRO"/>
  </r>
  <r>
    <s v="AGOSTO"/>
    <s v="MDM-FIBRA-020093541"/>
    <x v="2"/>
    <x v="2"/>
    <s v="CC-79750398"/>
    <s v="NESTOR CAMILO PEÑA SILVA"/>
    <s v="KR 12A 134B 55 IN 8"/>
    <s v="ZTE-FODEN"/>
    <s v="se evidencia que no hay viabilidad de las camaras de paso, al predio "/>
    <s v="TOBERIN"/>
    <s v="NO VIABLE"/>
    <n v="1502"/>
    <s v="No viable//se evidencia que no hay viabilidad de las camaras de paso, al predio "/>
    <s v="N/A"/>
    <s v="N/A"/>
    <s v="N/A"/>
    <d v="2026-08-20T00:00:00"/>
    <x v="14"/>
    <x v="5"/>
    <s v="N/A"/>
  </r>
  <r>
    <s v="AGOSTO"/>
    <s v="MDM-FIBRA-020085814"/>
    <x v="0"/>
    <x v="0"/>
    <s v="CC-53894126"/>
    <s v="AURA MARIA RIVERA HERRERA"/>
    <s v="CL 151 6 28 IN 2"/>
    <s v="ZTE-NETWORKING"/>
    <s v="realiza validacion de ingreso y ducteria para pasar el drop, se encuentra caja de ingreso en sotano hasta la cocina, donde la sonda no pasa y de alli se sondea hasta la sala donde debe quedar la ont para desplegar los ap pero no se logra comunicación, avanza aproximadamente 7mts"/>
    <s v="TOBERIN"/>
    <s v="NO VIABLE"/>
    <n v="1502"/>
    <s v="Orden No viable_x000a_MDM-FIBRA-020085814_x000a_se llega a predio, se habla con el usuario el cual autoriza realizar validación. se evidencia ducteria obstruida en cuarto de juegos donde donde requieren el modem principal. se valida todos los cuartos y solo hay viabilidad de cocina a 2 alcobas en piso 2 nada más. se evidencian que hay 2 cajas tapadas en pasillo interno del predio, las cuales son las q distribuyen a cuarto de juegos y alcoba principal en piso 3. cajas de distribución internas tapadas x remodelacion y no permiten cables figurados por fuera dentro del predio. No se generan daños ni pérdidas durante la validación. Autoriza supervisor Yeison martinez"/>
    <s v="N/A"/>
    <s v="N/A"/>
    <s v="N/A"/>
    <d v="2026-08-18T00:00:00"/>
    <x v="15"/>
    <x v="1"/>
    <s v="CARRO"/>
  </r>
  <r>
    <s v="AGOSTO"/>
    <s v="MDM-FIBRA-020059323"/>
    <x v="0"/>
    <x v="0"/>
    <s v="CC-1106363900"/>
    <s v="ANDREA SORANYI ALVAREZ PRIETO"/>
    <s v="CL 1B 40 40"/>
    <s v="ZTE-BFTEL"/>
    <s v="el ducto que comunica de la caja de paso a la toma principal se encuentra obstruido sonda no pasa,guía no se mueve"/>
    <s v="CUNI"/>
    <s v="SOLUCIONADA"/>
    <n v="1501"/>
    <s v="Orden Solucionada_x000a_MDM-FIBRA-020059323_x000a_Se llega a predio, se habla con el usuario, se realiza validación y se busca la ruta desde la nap asignada, se deja fibra en punta y de allí hasta predio donde se va a dejar el punto. Se gastan 80 MTS de fibra drop indoor outdoor- Herraje 3. No se generan daños ni pérdidas durante la instalacion. Tecnico jesus silva"/>
    <s v="N/A"/>
    <n v="80"/>
    <n v="3"/>
    <d v="2026-08-18T00:00:00"/>
    <x v="15"/>
    <x v="3"/>
    <s v="CARRO"/>
  </r>
  <r>
    <s v="AGOSTO"/>
    <s v="MDM-FIBRA-020085841"/>
    <x v="0"/>
    <x v="0"/>
    <s v="CC-1032358172"/>
    <s v="HAFRIT RUYARDY MARTINEZ MORALES"/>
    <s v="CL 13 SUR 8 34 AP 106"/>
    <s v="ZTE-BFTEL"/>
    <s v=" obstrucción caja de pasillo a toma principal de teléfono único ingreso, sonda tranca, sin cables, por citofono no permiten figurar, TV por canaleta externa"/>
    <s v="SANTA INES"/>
    <s v="SOLUCIONADA"/>
    <n v="1501"/>
    <s v="Orden Solucionada_x000a_MDM-FIBRA-020085841_x000a_Se realiza validacion y sondeo desde patio ya que la ducteria esta por esa parte se envía sonda hasta llegar a caja de paso en sótano, se pasa por cajas y ducto hasta llegar a caja de paso y se sube hacia la PDP de piso. Se gastan 65Mts Baja Fricción. No se generan daños ni pérdidas durante la instalacion. Tecnico luis hoyos"/>
    <n v="65"/>
    <s v="N/A"/>
    <s v="N/A"/>
    <d v="2026-08-18T00:00:00"/>
    <x v="15"/>
    <x v="0"/>
    <s v="CARRO"/>
  </r>
  <r>
    <s v="AGOSTO"/>
    <s v="MDM-FIBRA-020086500"/>
    <x v="0"/>
    <x v="0"/>
    <s v="CC-1007627425"/>
    <s v="JUAN DAVID MORENO"/>
    <s v="CL 13 79C 11 TO 10 AP 203"/>
    <s v="ZTE-COLVATEL"/>
    <s v="realiza validación, encuentra obstrucción entre cajas de paso, yo a cablear de pto hasta nap."/>
    <s v="FONTIBON"/>
    <s v="SOLUCIONADA"/>
    <n v="1502"/>
    <s v="Orden Solucionada_x000a_MDM-FIBRA-020086500_x000a_Se llega a predio, se habla con el usuario, se realiza validación y se busca la ruta desde la nap asignada, se pasa por 2 canaletas. Se deja fibra en punta en la nap y de alli hasta donde se va a dejar el punto. Se gastan 100 MTS de fibra de baja fricción. No se generan daños ni pérdidas durante la instalacion. Tecnico jesus silva"/>
    <n v="100"/>
    <s v="N/A"/>
    <s v="N/A"/>
    <d v="2026-08-18T00:00:00"/>
    <x v="15"/>
    <x v="3"/>
    <s v="CARRO"/>
  </r>
  <r>
    <s v="AGOSTO"/>
    <s v="MDM-FIBRA-020077709"/>
    <x v="0"/>
    <x v="0"/>
    <s v="CC-41730489"/>
    <s v="LUZ ADRIANA MARGARI MEJIA TALERO"/>
    <s v="KR 56B 127 57"/>
    <s v="ZTE-CONECTAR"/>
    <s v=":Ductería obstruida en recámara de paso por barro "/>
    <s v="SUBA"/>
    <s v="NO VIABLE"/>
    <n v="1502"/>
    <s v="Orden No viable_x000a_MDM-FIBRA-020077709_x000a_Se llega a predio, se habla con el usuario el cual autoriza realizar validación. Se evidencia ducteria obstruida de caja de paso de Jardín del cliente hacia adentro del predio. Solo se encuentra ruta viable desde la NAP hasta la caja de paso en Jardín. Se busca ruta alterna por fachada dentro del conjunto de casas, pero no se encuentra ruta entre etb y cajas de codensa internas. única ruta de acceso entre predio y nap asignada. No se generan daños ni pérdidas durante la validación. Autoriza supervisor Yeison martinez"/>
    <s v="N/A"/>
    <s v="N/A"/>
    <s v="N/A"/>
    <d v="2026-08-20T00:00:00"/>
    <x v="15"/>
    <x v="1"/>
    <s v="CARRO"/>
  </r>
  <r>
    <s v="AGOSTO"/>
    <s v="MDM-FIBRA-020095525"/>
    <x v="0"/>
    <x v="0"/>
    <s v="CC-1012370489"/>
    <s v="CRISTIAM ALBERTO AROCA MEDINA"/>
    <s v="KR 93D 71 49 SUR CA 235"/>
    <s v="ZTE-CONECTAR"/>
    <s v="Ducteria obstruida no pasa sonda se requiere apoyo de cuadrilla de quiebre"/>
    <s v="HOLANDA"/>
    <s v="NO VIABLE"/>
    <n v="1502"/>
    <s v="Orden No viable_x000a_MDM-FIBRA-020095525_x000a_Se ingresa al cliente y se validan tomas telefónicas y caja de distribución en anden, se realiza sondeo de ductos de caja telefónica a la caja de distribución y la sonda se quéda en la curva a 50 cm  se realiza sondeo de caja de distribución en anden 24 mts hacia el cliente y la sonda se queda llegando en la curva y no llega. se válida ruta por fachada y no tenemos acceso a la nap etb. No se generan daños ni pérdidas durante la validación. Autoriza supervisor Yeison martinez"/>
    <s v="N/A"/>
    <s v="N/A"/>
    <s v="N/A"/>
    <d v="2026-08-20T00:00:00"/>
    <x v="15"/>
    <x v="4"/>
    <s v="CARRO"/>
  </r>
  <r>
    <s v="AGOSTO"/>
    <s v="MDM-FIBRA-020082228"/>
    <x v="0"/>
    <x v="0"/>
    <s v="CC-1077860999"/>
    <s v="YULLY PAOLA CUELLAR TRIANA"/>
    <s v="KR 49B 58G 05 SUR IN 16 AP 347"/>
    <s v="ZTE-FODEN"/>
    <s v="tubería obstruida del apartamento a la salida del strip telefónico "/>
    <s v="MUZU"/>
    <s v="SOLUCIONADA"/>
    <n v="1502"/>
    <s v="*Orden Solucionada*_x000a_MDM-FIBRA-020082228_x000a_Se  realiza validacion y sondeo desde caja telefonica, saliendo a caja fachada, se baja hasta el 1er piso hasta el strip telefonico que esta en el mismo piso.  En predio se deja donde es requerido. Se gastan 30Mts Baja Fricción. No se generan daños ni pérdidas durante la instalacion. Tecnico luis hoyos"/>
    <n v="30"/>
    <s v="N/A"/>
    <s v="N/A"/>
    <d v="2026-08-20T00:00:00"/>
    <x v="15"/>
    <x v="0"/>
    <s v="CARRO"/>
  </r>
  <r>
    <s v="AGOSTO"/>
    <s v="MDM-FIBRA-020093112"/>
    <x v="0"/>
    <x v="0"/>
    <s v="CC-1000226982"/>
    <s v="MARIA CAMILA DELGADO OROZCO"/>
    <s v="KR 65 169A 50 CA 16"/>
    <s v="ZTE-CONECTAR"/>
    <s v="Ducteria obstruida no pasa sonda"/>
    <s v="TOBERIN"/>
    <s v="SOLUCIONADA"/>
    <n v="1502"/>
    <s v="Orden Solucionada_x000a_MDM-FIBRA-020093112_x000a_Se llega a predio, se habla con el usuario el cual autoriza realizar validación. Se evidencia ducteria telefonica obstruida, se busca ruta por toma de tv, y se realizan varias pescas. se tiende fibra desde la pdp q queda en caja de paso de techo en sótano. se lleva x 6 cajas de paso en techo, se ingresa a predio por toma de tv en piso 2 pasando por 3 alcobas, se lleva a cuarto de estudio en piso 3 y se deja en punto requerido por el cliente. se gastan 80 mts de baja fricción  No se generan daños ni afectaciones en predio  No se generan daños ni pérdidas durante la instalacion. Tecnico cesar hernandez"/>
    <n v="80"/>
    <s v="N/A"/>
    <s v="N/A"/>
    <d v="2026-08-20T00:00:00"/>
    <x v="15"/>
    <x v="1"/>
    <s v="CARRO"/>
  </r>
  <r>
    <s v="AGOSTO"/>
    <s v="MDM-FIBRA-020077624"/>
    <x v="0"/>
    <x v="0"/>
    <s v="CC-1001330200"/>
    <s v="GERMAN SANTIAGO JIMENEZ JIMENEZ"/>
    <s v="CL 40 SUR 72I 33 IN 7 AP 303"/>
    <s v="ZTE-FODEN"/>
    <s v="tubería obstruida del apartamento a la salida del strip telefónico "/>
    <s v="MUZU"/>
    <s v="SOLUCIONADA"/>
    <n v="1502"/>
    <s v="Orden Solucionada_x000a_MDM-FIBRA-020077624_x000a_Se realiza validacion y sondeo desde caja telefonica, saliendo a caja fachada, baja  por caja de fachada hasta el 1er piso hasta el strip telefonico que esta en el mismo piso. En predio se deja donde es requerido. Se gastan 30Mts Baja Fricción. No se generan daños ni pérdidas durante la instalacion. Tecnico luis hoyos"/>
    <n v="30"/>
    <s v="N/A"/>
    <s v="N/A"/>
    <d v="2026-08-20T00:00:00"/>
    <x v="15"/>
    <x v="0"/>
    <s v="CARRO"/>
  </r>
  <r>
    <s v="AGOSTO"/>
    <s v="MDM-FIBRA-020081742"/>
    <x v="1"/>
    <x v="1"/>
    <s v="CC-1020758821"/>
    <s v="SANTIAGO RIASCOS VANEGAS"/>
    <s v="CL 131A 9 20 TO 3 AP 206"/>
    <s v="ZTE-NETWORKING"/>
    <s v=" Se valida ruta de ingreso al apartento.  Se envia zonda. Por ducto  desde caja de paso.   No se logra ingresar la fibra al predio "/>
    <s v="CHICO"/>
    <s v="NO VIABLE"/>
    <n v="1502"/>
    <s v="Orden No viable_x000a_MDM-FIBRA-020081742_x000a_Se realizó validación de ruta para tendido evidenciamos que el apartamento es duplex cuenta con dos ingresos TV al segundo nivel y al primero llega citofonia cocina llega del 2 nivel; al enviar la sonda por la toma de teléfonos del primer nivel está solo ingresan 30 CM y tranca, cables existentes no se mueven, por el citofono de la cocina la sonda ingresa 10 MTRS y queda trancada; por tv del segundo nivel la sonda ingresa pero tampoco  sale a la caja de paso; todos los tubos tienen cables pero en el apartamento no se logra encontrar paso por ductos. por fachada administración no permiten cables por zonas comunes. No se generan daños ni pérdidas durante la validación. Autoriza supervisor Yeison martinez"/>
    <s v="N/A"/>
    <s v="N/A"/>
    <s v="N/A"/>
    <d v="2026-08-20T00:00:00"/>
    <x v="15"/>
    <x v="2"/>
    <s v="MOTO"/>
  </r>
  <r>
    <s v="AGOSTO"/>
    <s v="MDM-FIBRA-020080338"/>
    <x v="0"/>
    <x v="0"/>
    <s v="CC-1002313727"/>
    <s v="LUISA FERNANDA CONTRERAS GARCIA"/>
    <s v="CL 83 SUR 91 70 TO 5 AP 601"/>
    <s v="ZTE-CONECTAR"/>
    <s v="Ducteria obstruida no pasa sonda "/>
    <s v="HOLANDA"/>
    <s v="APLAZAMIENTO"/>
    <n v="1502"/>
    <s v="Aplazamiento_x000a_MDM-FIBRA-020080338_x000a_Por horario de administracion no permiten mas labores, cliente solicita reprogramar para el dia 22-08 en am"/>
    <s v="N/A"/>
    <s v="N/A"/>
    <s v="N/A"/>
    <d v="2026-08-20T00:00:00"/>
    <x v="15"/>
    <x v="4"/>
    <s v="CARRO"/>
  </r>
  <r>
    <s v="AGOSTO"/>
    <s v="MDM-FIBRA-020096652"/>
    <x v="0"/>
    <x v="0"/>
    <s v="CC-1030630059"/>
    <s v="JONATHAN ALEXANDER CORREDOR TRASLAVIÑA"/>
    <s v="CL 53 SUR 79C 06 IN 1 AP 202"/>
    <s v="ZTE-COLVATEL"/>
    <s v="no pasa la sonda para tender el cable"/>
    <s v="HOLANDA"/>
    <s v="SOLUCIONADA"/>
    <n v="1502"/>
    <s v="*Orden Solucionada*_x000a_MDM-FIBRA-020096652_x000a_Se ingresa al cliente, se validan tomas telefónicas y caja de distribución en pasillo, se realiza sondeo de ductos. Se realiza  tendido de fibra óptica desde el punto requerido por el cliente saliendo a la caja de distribución en pasillo donde se encuentra la CP asignada. Se gastan 20  mts de F.O de baja fricción. No se generan daños ni pérdidas durante la instalacion. Tecnico fredy corredor."/>
    <n v="20"/>
    <s v="N/A"/>
    <s v="N/A"/>
    <d v="2026-08-20T00:00:00"/>
    <x v="15"/>
    <x v="4"/>
    <s v="CARRO"/>
  </r>
  <r>
    <s v="AGOSTO"/>
    <s v="MDM-FIBRA-020094992"/>
    <x v="1"/>
    <x v="1"/>
    <s v="CC-39694664"/>
    <s v="SYLVIA CABRERA GONZALEZ"/>
    <s v="KR 13 BIS 109 76 AP 201"/>
    <s v="ZTE-NETWORKING"/>
    <s v="se valida ruta de acceso a predio presenta obstrucción"/>
    <s v="CHICO"/>
    <s v="SOLUCIONADA"/>
    <n v="1502"/>
    <s v="Orden Solucionada_x000a_MDM-FIBRA-020094992_x000a_Se instalan 36 mtrs de drop de baja fricción desde la caja de telefonía enviamos el drop hasta la toma principal ubicada en la sala donde técnico le informa al usuario .se validaron los demás ductos encontrando viabilidad. No se generan daños ni pérdidas durante la instalacion. Tecnico edwin dia"/>
    <n v="36"/>
    <s v="N/A"/>
    <s v="N/A"/>
    <d v="2026-08-20T00:00:00"/>
    <x v="15"/>
    <x v="2"/>
    <s v="MOTO"/>
  </r>
  <r>
    <s v="AGOSTO"/>
    <s v="MDM-FIBRA-020090743"/>
    <x v="0"/>
    <x v="0"/>
    <s v="CC-1020718271"/>
    <s v="MARIA VICTORIA LINARES BARRETO"/>
    <s v="CL 74 6 11 AP 1102"/>
    <s v="ZTE-NETWORKING"/>
    <s v="se valida ruta de acceso a predio se encuentra obstruccion se requiere cuadrilla de quiebre"/>
    <s v="CHICO"/>
    <s v="SOLUCIONADA"/>
    <n v="1502"/>
    <s v="*Orden Solucionada*_x000a_MDM-FIBRA-020090743_x000a_Se llega a predio, se habla con el usuario, se realiza validación y se busca la ruta desde la nap asignada, pasando  por 1 caja y 2 toma. Se deja fibra en punta y de alli hasta donde se va a dejar el punto. Se gastan 40 MTS de fibra de baja fricción. No se generan daños ni pérdidas durante la instalacion. Tecnico jesus silva"/>
    <n v="40"/>
    <s v="N/A"/>
    <s v="N/A"/>
    <d v="2026-08-20T00:00:00"/>
    <x v="15"/>
    <x v="3"/>
    <s v="CARRO"/>
  </r>
  <r>
    <s v="AGOSTO"/>
    <s v="MDM-FIBRA-020085678"/>
    <x v="2"/>
    <x v="2"/>
    <s v="CC-80226516"/>
    <s v="MILCIADES CARDENAS SISA"/>
    <s v="CL 8 20 30 LC 111"/>
    <s v="ZTE-BFTEL"/>
    <s v="Se evidencio  que las cajas de paso estan en el techo del centro comercial pero la escalera de tijera mas larga que tenemos no alcanza por lo cual se requiere realizar la actividad con andamios certificados o en su defecto manlif, por tal motivo no se puede realizar el aprovisionamiento"/>
    <s v="CUNI"/>
    <s v="NO VIABLE"/>
    <n v="1502"/>
    <s v="No viable//Se evidencio  que las cajas de paso estan en el techo del centro comercial pero la escalera de tijera mas larga que tenemos no alcanza por lo cual se requiere realizar la actividad con andamios certificados o en su defecto manlif, por tal motivo no se puede realizar el aprovisionamiento"/>
    <s v="N/A"/>
    <s v="N/A"/>
    <s v="N/A"/>
    <d v="2026-08-21T00:00:00"/>
    <x v="15"/>
    <x v="5"/>
    <s v="N/A"/>
  </r>
  <r>
    <s v="AGOSTO"/>
    <s v="MDM-FIBRA-020095420"/>
    <x v="2"/>
    <x v="2"/>
    <s v="CC-1014182827"/>
    <s v="DANIEL ESTIVEN SANABRIA CASTRO"/>
    <s v="CL 66A 77 28"/>
    <s v="ZTE-COLVATEL"/>
    <s v="se valida l única ruta de acceso que nos permites es por tejados por seguridad industrial no es posible se pone en riesgo integridad de tecnico"/>
    <s v="BACHUE"/>
    <s v="NO VIABLE"/>
    <n v="1501"/>
    <s v="No viable//se valida l única ruta de acceso que nos permites es por tejados por seguridad industrial no es posible se pone en riesgo integridad de tecnico"/>
    <s v="N/A"/>
    <s v="N/A"/>
    <s v="N/A"/>
    <d v="2026-08-21T00:00:00"/>
    <x v="15"/>
    <x v="5"/>
    <s v="N/A"/>
  </r>
  <r>
    <s v="AGOSTO"/>
    <s v="MDM-FIBRA-020099584"/>
    <x v="2"/>
    <x v="2"/>
    <s v="CC-80073872"/>
    <s v="HENRY DAVID NEIRA TRIANA"/>
    <s v="CL 136 13 77"/>
    <s v="ZTE-CONECTAR"/>
    <s v="observación: Se evidencia que la ductería esta obstruida, no pasa sonda"/>
    <s v="TOBERIN"/>
    <s v="NO VIABLE"/>
    <n v="1502"/>
    <s v="Gestionada Orden No viable_x000a_MDM-FIBRA-017842625_x000a_Se llega a predio, se realiza validacion en el interior de la casa,  se evidencia que no hay tomas telefónicas ni de TV. Cliente con servicios de claro, en caja eléctrica ya que no se evidencia cajas de paso en fachada ni piso,  no se evidencia más cajas. Se ingresa sonda, no se evidencia que ingresó más de 3 mts aproximadamente, no se evidencian más cajas al rededor ya que la mayoría son jardines. No se generan daños ni pérdidas durante la validacion. Autoriza supervisor Yeison Martinez."/>
    <s v="N/A"/>
    <s v="N/A"/>
    <s v="N/A"/>
    <d v="2026-08-21T00:00:00"/>
    <x v="15"/>
    <x v="5"/>
    <s v="N/A"/>
  </r>
  <r>
    <s v="AGOSTO"/>
    <s v="M-FIBRA-020058096  "/>
    <x v="2"/>
    <x v="2"/>
    <s v="CC-41726809"/>
    <s v="PAULINA FLOREZ DE ACOSTA"/>
    <s v="CL 30 BIS A SUR 6 83 ESTE PI 2"/>
    <s v="ZTE-BFTEL"/>
    <s v="nap asignada se encuentra a más de 250 metros que es lo autorizado por interventoría de ETB, se envia hacer cambio de nap pero las naps cercanas N1SI11_A19 - N1SI11_A18  estan copadas, por tal motivo no se puede realizar el aprovisionamiento"/>
    <s v="SANTA INES"/>
    <s v="NO VIABLE"/>
    <n v="1502"/>
    <s v="No viable//nap asignada se encuentra a más de 250 metros que es lo autorizado por interventoría de ETB, se envia hacer cambio de nap pero las naps cercanas N1SI11_A19 - N1SI11_A18  estan copadas, por tal motivo no se puede realizar el aprovisionamiento"/>
    <s v="N/A"/>
    <s v="N/A"/>
    <s v="N/A"/>
    <d v="2026-08-21T00:00:00"/>
    <x v="15"/>
    <x v="5"/>
    <s v="N/A"/>
  </r>
  <r>
    <s v="AGOSTO"/>
    <s v="MDM-FIBRA-020092347"/>
    <x v="1"/>
    <x v="1"/>
    <s v="CC-41705170"/>
    <s v="OLGA TOVAR VALENCIA"/>
    <s v="KR 58C 142 20 IN 4 AP 204"/>
    <s v="ZTE-CONECTAR"/>
    <s v="Ductería obstruida entre toma pared apto y caja de paso de la Pep"/>
    <s v="TOBERIN"/>
    <s v="SOLUCIONADA"/>
    <n v="1502"/>
    <s v="Orden Solucionada_x000a_MDM-FIBRA-020092347_x000a_Se instalan 16 MTRS de drop de baja fricción desde la caja de paso, por ducto de teléfono enviamos el drop hasta la toma principal donde usuario solicita el servicio. No se generan daños ni pérdidas durante la instalacion. Tecnico edwin diaz"/>
    <n v="16"/>
    <s v="N/A"/>
    <s v="N/A"/>
    <d v="2026-08-21T00:00:00"/>
    <x v="15"/>
    <x v="2"/>
    <s v="MOTO"/>
  </r>
  <r>
    <s v="AGOSTO"/>
    <s v="MDM-FIBRA-020098826"/>
    <x v="2"/>
    <x v="2"/>
    <s v="CC-1016088972"/>
    <s v="VALENTINA MORA PARRA"/>
    <s v="CL 22B BIS 82 31"/>
    <s v="ZTE-COLVATEL"/>
    <s v="se deben realizar trabajos sobre tejado cosa que no tenemos permitido por seguridad industrial se le ofrecen rutas alternas al cliente el cual dice que no que debe ir por donde están los demás cables"/>
    <s v="FONTIBON"/>
    <s v="NO VIABLE"/>
    <n v="1502"/>
    <s v="No viable//se deben realizar trabajos sobre tejado cosa que no tenemos permitido por seguridad industrial se le ofrecen rutas alternas al cliente el cual dice que no que debe ir por donde están los demás cables"/>
    <s v="N/A"/>
    <s v="N/A"/>
    <s v="N/A"/>
    <d v="2026-08-21T00:00:00"/>
    <x v="15"/>
    <x v="5"/>
    <s v="N/A"/>
  </r>
  <r>
    <s v="AGOSTO"/>
    <s v="MDM-FIBRA-020100631"/>
    <x v="2"/>
    <x v="2"/>
    <s v="PA-X00168435"/>
    <s v="ANDREA KAMILA ROJAS MOGOLLON"/>
    <s v="KR 2 76A 02 TO 3 AP 1001"/>
    <s v="ZTE-NETWORKING"/>
    <s v="se valida ruta de acceso a predio se encuentra obstruccion se requiere cuadrilla de quiebre_x000a_ZTE"/>
    <s v="CHICO"/>
    <s v="NO VIABLE"/>
    <n v="1502"/>
    <s v="Gesrtionada Orden No viable_x000a_MDM-FIBRA-018281960_x000a_Se llega a predio, se evidencia ducteria obstruida, se aplica jabón líquido a la sonda. se realiza sondeo desde cuarto de comunicaciones en pasillo hacia el predio. sonda avanza 20 mts y se evidencia que suena en cuarto donde se encuentra la lavadora. se realiza sondeo desde caja de paso de cocina en techo y se evidencia que también suena en el cuarto donde se encuentra la lavadora. Por remodelaciones en apartamento taparon la caja de acceso principal con drywall. se realizó sondeo por los 3 tubos de acceso y todos suenan en el mismo cuarto donde se encuentra la caja tapada. se le informa al cliente, administración no permite cables por zonas comunes y no hay mas accesos al predio. No se generan daños ni pérdidas durante la validación. Autoriza supervisor Yeison Martinez."/>
    <s v="N/A"/>
    <s v="N/A"/>
    <s v="N/A"/>
    <d v="2026-08-21T00:00:00"/>
    <x v="15"/>
    <x v="5"/>
    <s v="N/A"/>
  </r>
  <r>
    <s v="AGOSTO"/>
    <s v="MDM-FIBRA-020073715"/>
    <x v="0"/>
    <x v="0"/>
    <s v="CC-1110474945"/>
    <s v="JAIME ALBERTO ROJAS PATERNINA"/>
    <s v="KR 7 43 33 AP 308"/>
    <s v="ZTE-BFTEL"/>
    <s v=" Se evidencia que hay una obstrucción desde la caja de paso hacia  el apt , se sondea  y la sonda tranca  , se sondea viseverda  y tranca igualmente, la ruta va desde la caja de paso directamenteal apt"/>
    <s v="CUNI"/>
    <s v="NO VIABLE"/>
    <n v="1501"/>
    <s v="Orden No viable_x000a_MDM-FIBRA-020073715_x000a_Se llega a predio, se habla con el usuario el cual autoriza realizar validación. Se evidencia ducteria obstruida, se aplica jabón líquido y agua caliente dentro del predio y en caja de paso de pasillo. se realiza sondeo de adentro hacia afuera y sonda tranca a los 6 mts, de afuera hacia adentro sonda avanza solo 8 mts. se realiza pesca y sondas no se encuentran. citofonia ingresa por medio de las cocinas de todos los apartamentos, tomas de tv no tienen comunicación con etb. no permiten cables figurados por zonas comunes. No se generan daños ni pérdidas durante la validacion. autoriza supervisor yeison martinez."/>
    <s v="N/A"/>
    <s v="N/A"/>
    <s v="N/A"/>
    <d v="2026-08-18T00:00:00"/>
    <x v="14"/>
    <x v="1"/>
    <s v="CARRO"/>
  </r>
  <r>
    <s v="AGOSTO"/>
    <s v="MDM-FIBRA-019981684"/>
    <x v="0"/>
    <x v="0"/>
    <s v="CC-1117551074"/>
    <s v="YUBELY BASTIDAS QUINTERO"/>
    <s v="DG 49 SUR 86 40 CA 329"/>
    <s v="ZTE-CONECTAR"/>
    <s v="Se evidencia que la ductería esta obstruida, no pasa sonda"/>
    <s v="HOLANDA"/>
    <s v="NO VIABLE"/>
    <n v="1502"/>
    <s v="ORDEN NO VIABLE_x000a_Se ingresa al predio y se validan las tomas telefónicas y la caja de distribución ubicada en el andén. Se realiza sondeo de ductos desde la toma del cliente hacia la caja de distribución, encontrando obstrucción a los 2 m. Posteriormente, se realiza sondeo desde la caja de distribución hacia la toma del cliente, logrando un avance de 35 m y quedando a 2 m de llegar al punto de destino. Durante la validación se evidencia que las tomas están compartidas con el apartamento contiguo. No se encuentra personal en dicho inmueble para realizar la instalación y el cliente manifiesta no tener contacto con el propietario. Se valida ruta por fachada; sin embargo, la administración no autoriza instalación de red externa. Se deja la infraestructura normalizada, sin generar daños ni afectaciones al bien común."/>
    <s v="N/A"/>
    <s v="N/A"/>
    <s v="N/A"/>
    <d v="2026-08-14T00:00:00"/>
    <x v="16"/>
    <x v="4"/>
    <s v="CARRO"/>
  </r>
  <r>
    <s v="AGOSTO"/>
    <s v="MDM-FIBRA-020067643"/>
    <x v="0"/>
    <x v="0"/>
    <s v="CC-1024525584"/>
    <s v="MARIO RODOLFO ACOSTA NAVARRETE"/>
    <s v="KR 59B BIS 128B 11 BQ 1 IN 6"/>
    <s v="ZTE-CONECTAR"/>
    <s v="observación: Se evidencia que no hay comunicación de la caja al apartamento"/>
    <s v="SUBA"/>
    <s v="APLAZAMIENTO"/>
    <n v="1502"/>
    <s v="Aplazamiento_x000a_Cuadrilla en predio, se marca a contacto, cliente indica que no puede atender solicita reprogramar para el día 27-08 en am."/>
    <s v="N/A"/>
    <s v="N/A"/>
    <s v="N/A"/>
    <d v="2026-08-14T00:00:00"/>
    <x v="16"/>
    <x v="3"/>
    <s v="CARRO"/>
  </r>
  <r>
    <s v="AGOSTO"/>
    <s v="MDM-FIBRA-020093807"/>
    <x v="0"/>
    <x v="0"/>
    <s v="CC-1030564336"/>
    <s v="WILLIAM STEVEEN HERRERA HERMANDEZ"/>
    <s v="CL 60 46 41 AP 611"/>
    <s v="ZTE-BFTEL"/>
    <s v=" se evidencia que hay una obstrucción desde la caja de paso hacia  el apt , se sondea  y la sonda tranca  , se sondea viseversa  y tranca igualmente, la ruta va desde pdp  directamente al apt"/>
    <s v="CUNI"/>
    <s v="NO VIABLE"/>
    <n v="1502"/>
    <s v="MDM-FIBRA-020093807_x000a_CLIENTE NO CONTACTADO_x000a_Cuadrilla en  predio, personal de seguridad informa que el cliente cancelo el servicio y no permite ingresar, se marca a números de orden y no hay respuesta sin contacto con cliente. Técnico Freddy Corredor"/>
    <s v="N/A"/>
    <s v="N/A"/>
    <s v="N/A"/>
    <d v="2026-08-20T00:00:00"/>
    <x v="16"/>
    <x v="4"/>
    <s v="CARRO"/>
  </r>
  <r>
    <s v="AGOSTO"/>
    <s v="MDM-FIBRA-020083791"/>
    <x v="0"/>
    <x v="0"/>
    <s v="CC-52899642"/>
    <s v="LADY JOHANA QUILAGUY TORRES"/>
    <s v="KR 27 29A 85 SUR AP 306"/>
    <s v="ZTE-BFTEL"/>
    <s v="obstrucción caja de pasillo a toma principal de teléfono único ingreso, se evidencia fibra atascada, sonda tranca, no cables figurados por área común"/>
    <s v="MUZU"/>
    <s v="SOLUCIONADA"/>
    <n v="1501"/>
    <s v="Orden Solucionada_x000a_MDM-FIBRA-020083791_x000a_Se inicia validación y sondeo desde la caja telefónica hacia la caja de distribución, donde se evidencia infraestructura de servicio Claro. Se realiza método de pesca mediante sonda, logrando continuidad hasta la caja de paso ubicada en las escaleras de emergencia._x000a_En el predio, la instalación queda ubicada en el punto requerido, sin generar daños ni afectaciones a la infraestructura o acabados. Observación: Se realiza método de pesca desde la caja telefónica hacia la caja de distribución y, posteriormente, desde la caja de distribución hasta la caja de paso."/>
    <n v="20"/>
    <s v="N/A"/>
    <s v="N/A"/>
    <d v="2026-08-19T00:00:00"/>
    <x v="16"/>
    <x v="0"/>
    <s v="CARRO"/>
  </r>
  <r>
    <s v="AGOSTO"/>
    <s v="MDM-FIBRA-020093386"/>
    <x v="0"/>
    <x v="0"/>
    <s v="CC-52516852"/>
    <s v="ANDREA PAOLA PEREZ ESTRADA"/>
    <s v="CL 12A 71B 60 ET 2 CA 180"/>
    <s v="ZTE-COLVATEL"/>
    <s v="obstruccion entre cajas de paso de predio a Nap, sonda avanza aproximadamente 4 metros y tranca"/>
    <s v="FONTIBON"/>
    <s v="SOLUCIONADA"/>
    <n v="1502"/>
    <s v="SOLUCIONADA – MDM-FIBRA 020093386_x000a__x000a_Se llega al predio y el usuario autoriza la validación. Se evidencia ductería obstruida, logrando habilitar la ruta mediante sondeo con jabón líquido y agua caliente.Se realiza tendido de fibra desde la NAP, pasando por 2 cajas peatonales canalizadas y 2 cajas murales, ingresando al predio por la toma principal. Se dejan 70 metros de fibra de baja fricción y reserva suficiente, debido a que el predio cuenta con 4 pisos y aún no se define la ubicación del módem.No se generan daños ni afectaciones en el predio. Técnico: César Hernández."/>
    <n v="70"/>
    <s v="N/A"/>
    <s v="N/A"/>
    <d v="2026-08-20T00:00:00"/>
    <x v="16"/>
    <x v="1"/>
    <s v="CARRO"/>
  </r>
  <r>
    <s v="AGOSTO"/>
    <s v="MDM-FIBRA-020094573"/>
    <x v="0"/>
    <x v="0"/>
    <s v="CC-1030649327"/>
    <s v="LUIS FELIPE BEJARANO SANCHEZ"/>
    <s v="AK 60 67A 51 PI 2"/>
    <s v="ZTE-NETWORKING"/>
    <s v="se valida ruta de acceso a predio presenta obstrucción"/>
    <s v="CHICO"/>
    <s v="NO VIABLE"/>
    <n v="1502"/>
    <s v="Orden Cancelada_x000a_MDM-FIBRA-020094573_x000a_Cuadrilla en predio. No se permite el ingreso del técnico para realizar la gestión. Se logra establecer contacto telefónico con el cliente LUIS FELIPE BEJARANO SANCHEZ (314 211 7534), quien manifiesta, de manera molesta, que ya realizó la contratación con otro operador, por lo cual solicita la cancelación del servicio. Técnico: Freddy Corredor"/>
    <s v="N/A"/>
    <s v="N/A"/>
    <s v="N/A"/>
    <d v="2026-08-20T00:00:00"/>
    <x v="16"/>
    <x v="4"/>
    <s v="CARRO"/>
  </r>
  <r>
    <s v="AGOSTO"/>
    <s v="MDM-FIBRA-020052172"/>
    <x v="1"/>
    <x v="1"/>
    <s v="CC-1015450027"/>
    <s v="MARIA ANGELICA CARDENAS AVILA"/>
    <s v="KR 114A 77D 20 TO 3 AP 1101"/>
    <s v="ZTE-COLVATEL"/>
    <s v="se valida única ruta de acceso presenta obstruccion entre cdp cableado existente atascado"/>
    <s v="BACHUE"/>
    <s v="SOLUCIONADA"/>
    <n v="1502"/>
    <s v="Orden Solucionada_x000a_MDM-FIBRA-020052172_x000a__x000a_Se instalan 30 metros de drop de baja fricción, desde la caja de paso, utilizando el ducto de citofonía. El tendido se realiza hasta la toma de la cocina, posteriormente se continúa hacia la toma telefónica ubicada en la sala y, desde allí, hasta el estudio, donde el usuario solicita el servicio._x000a_Se valida la ruta de TV, encontrando viabilidad para la instalación de los puntos de TV._x000a_Durante la instalación de la fibra óptica no se generan daños en la infraestructura ni en los acabados del inmueble. Técnico EDWIN DIAZ"/>
    <n v="30"/>
    <s v="N/A"/>
    <s v="N/A"/>
    <d v="2026-08-21T00:00:00"/>
    <x v="16"/>
    <x v="2"/>
    <s v="MOTO"/>
  </r>
  <r>
    <s v="AGOSTO"/>
    <s v="MDM-FIBRA-020097038"/>
    <x v="0"/>
    <x v="0"/>
    <s v="CC-1012337705"/>
    <s v="FAIBER ANDRES OÑATE NIÑO"/>
    <s v="KR 95A 34 39 SUR IN 48 AP 502"/>
    <s v="ZTE-COLVATEL"/>
    <s v="Obstrucción en paso de sonda desde la caja de paso hasta la cámara donde se encuentra el nap_x000a_Se requiere apoyo de cuadrilla"/>
    <s v="HOLANDA"/>
    <s v="APLAZAMIENTO"/>
    <n v="1501"/>
    <s v="Aplazamiento_x000a_MDM-FIBRA-020097038_x000a_Orden en validación. Debido a los tiempos establecidos por la administración del conjunto, no fue posible continuar con la gestión durante la visita. El titular solicita reagendar la visita para el día lunes en jornada PM."/>
    <s v="N/A"/>
    <s v="N/A"/>
    <s v="N/A"/>
    <d v="2026-08-21T00:00:00"/>
    <x v="16"/>
    <x v="0"/>
    <s v="CARRO"/>
  </r>
  <r>
    <s v="AGOSTO"/>
    <s v="MDM-FIBRA-020095711"/>
    <x v="0"/>
    <x v="0"/>
    <s v="CC-1020732941"/>
    <s v="CARLOS GUSTAVO NIÑO SUAREZ"/>
    <s v="CL 83A 116A 85 IN 173"/>
    <s v="ZTE-COLVATEL"/>
    <s v="e valida ruta de acceso a predio presenta obstruccion entre cdp cables existente no se mueven"/>
    <s v="BACHUE"/>
    <s v="SOLUCIONADA"/>
    <n v="1501"/>
    <s v="SOLUCIONADA_x000a_MDM-FIBRA-020095711_x000a_Se llega al predio y se establece contacto con el usuario, quien autoriza el ingreso para realizar la respectiva validación técnica.  Se realiza la validación y se verifica la ruta desde la NAP asignada hasta el predio, evidenciando que existe una ruta disponible. Se procede con el tendido de fibra desde la NAP hasta el punto requerido por el cliente, ubicado en el segundo piso.  Durante el recorrido, la fibra pasa por 3 cajas, 3 cámaras y 2 tomas. Se deja la fibra en punta desde la NAP hasta el punto destinado para la instalación del servicio en el segundo piso. Los trabajos se realizan de manera satisfactoria, sin generar daños ni afectaciones en el predio. Tecnico Jesus Silva"/>
    <n v="85"/>
    <s v="N/A"/>
    <s v="N/A"/>
    <d v="2026-08-21T00:00:00"/>
    <x v="16"/>
    <x v="3"/>
    <s v="CARRO"/>
  </r>
  <r>
    <s v="AGOSTO"/>
    <s v="MDM-FIBRA-020105949"/>
    <x v="0"/>
    <x v="0"/>
    <s v="CC-1011083325"/>
    <s v="SEBASTIAN DAVID PAEZ HUAZA"/>
    <s v="CL 19A 91 05 LC 31"/>
    <s v="ZTE-COLVATEL"/>
    <s v="se valida única ruta de acceso a predio presenta obstrucción entre cdp sonda se atasca"/>
    <s v="FONTIBON"/>
    <s v="NO VIABLE"/>
    <n v="1502"/>
    <s v="MDM-FIBRA 020105949_x000a_ORDEN NO VIABLE_x000a_Se llega al predio y se cuenta con autorización del usuario para realizar la validación. Se evidencia ductería obstruida, siendo esta la única ruta disponible desde el local hasta la NAP asignada. Se realiza sondeo desde el interior hacia el exterior, encontrando obstrucción a los 15 cm. Se valida la ruta desde la NAP hasta el foso, donde se identifica continuidad del ducto hacia el local. No se encuentran rutas adicionales viables y no se autoriza el tendido de cable figurado por zonas comunes. Tecnico Cesar"/>
    <s v="N/A"/>
    <s v="N/A"/>
    <s v="N/A"/>
    <d v="2026-08-21T00:00:00"/>
    <x v="16"/>
    <x v="1"/>
    <s v="CARRO"/>
  </r>
  <r>
    <s v="AGOSTO"/>
    <s v="MDM-FIBRA-020106469"/>
    <x v="0"/>
    <x v="0"/>
    <s v="PPT-5760266"/>
    <s v="MARIANNI CIRSTINA GARCIA DE MEDINA"/>
    <s v="CL 7 90 76 CA 168"/>
    <s v="ZTE-COLVATEL"/>
    <s v="obstrucción entre caja de paso para llegar a la nap sonda avanza aproximadamente 4 m y tranca"/>
    <s v="FONTIBON"/>
    <s v="SOLUCIONADA"/>
    <n v="1502"/>
    <s v="¨HILADO SOLUCIONADO_x000a_MDM-FIBRA 020106469 –_x000a_Se llega al predio y se establece contacto con el usuario, quien autoriza la validación técnica. Se evidencia ductería obstruida, por lo cual se realiza sondeo aplicando jabón líquido y agua caliente, complementando el procedimiento con 2 pescas, logrando habilitar la ruta. Se realiza tendido de hilado desde la NAP preconectorizada, pasando por 2 cajas de paso peatonales canalizadas y 2 cajas murales, ingresando al predio por la toma principal de la sala y dejando el hilado en el punto requerido por el cliente. Los trabajos se realizan satisfactoriamente, sin generar daños ni afectaciones en el predio. Como siguiente paso, puedes agregar el nombre del técnico y los metros de hilado utilizados si necesitas dejar el reporte completo para cierre de la orden. Tenico Cesar Hernandez"/>
    <s v="N/A"/>
    <s v="N/A"/>
    <s v="N/A"/>
    <d v="2026-08-21T00:00:00"/>
    <x v="16"/>
    <x v="1"/>
    <s v="CARRO"/>
  </r>
  <r>
    <s v="AGOSTO"/>
    <s v="MDM-FIBRA-020083461"/>
    <x v="1"/>
    <x v="1"/>
    <s v="CC-1115083916"/>
    <s v="LEIDY JHOANA GILON AVENDAÑO"/>
    <s v="CL 157C 91 86 TO 2 AP 606"/>
    <s v="ZTE-CONECTAR"/>
    <s v="uctería obstruida no pasa sonda"/>
    <s v="SUBA"/>
    <s v="SOLUCIONADA"/>
    <n v="1502"/>
    <s v="ORDEN SOLUCIONADA_x000a_MDM-FIBRA 020083461 _x000a_Se instalan 21 metros de drop de baja fricción desde la caja de paso, utilizando ductería de TV. Se realiza recorrido hasta la toma principal, habitación principal y toma de TV de la sala, dejando la respectiva reserva para la instalación del servicio. Se valida la toma telefónica, evidenciando que la toma principal presenta obstrucción o desacople de ductería. Se verifica la toma de TV, encontrando viabilidad para el servicio. Técnico: Edwin Diaz"/>
    <n v="21"/>
    <s v="N/A"/>
    <s v="N/A"/>
    <d v="2026-08-21T00:00:00"/>
    <x v="16"/>
    <x v="2"/>
    <s v="MOTO"/>
  </r>
  <r>
    <s v="AGOSTO"/>
    <s v="MDM-FIBRA-020080338"/>
    <x v="0"/>
    <x v="0"/>
    <s v="CC-1002313727"/>
    <s v="LUISA FERNANDA CONTRERAS GARCIA"/>
    <s v="CL 83 SUR 91 70 TO 5 AP 601"/>
    <s v="ZTE-CONECTAR"/>
    <s v="Ducteria obstruida no pasa sonda "/>
    <s v="HOLANDA"/>
    <s v="NO VIABLE"/>
    <n v="1502"/>
    <s v="MDM-FIBRA-020080338_x000a_No contactado_x000a_Cuadrilla en predio se marca a contactos sin respuesta, seguridad indica que no hay nadie."/>
    <s v="N/A"/>
    <s v="N/A"/>
    <s v="N/A"/>
    <d v="2026-08-20T00:00:00"/>
    <x v="16"/>
    <x v="0"/>
    <s v="CARRO"/>
  </r>
  <r>
    <s v="AGOSTO"/>
    <s v="MDM-FIBRA-020055493"/>
    <x v="2"/>
    <x v="2"/>
    <s v="CC-1032487622"/>
    <s v="CAMILA ANDREA TORRES LOPEZ"/>
    <s v="KR 75 3A 29 AP 304"/>
    <s v="ZTE-BFTEL"/>
    <s v="no hay caja fachada en predio, no hay como posicionar la escalera en predio ya que tiene el garaje sobresaliente, tiene cajas de pasillo se sondea no tiene destino, no hay llaves de la terraza para poder tender por ahí"/>
    <s v="MUZU"/>
    <s v="NO VIABLE"/>
    <n v="1502"/>
    <s v="*NO VIABLE*     MDM-FIBRA-020055493 /  DIFICULTAD TENDIDO HOME CONECT / no hay caja fachada en predio, no hay como posicionar la escalera en predio ya que tiene el garaje sobresaliente, tiene cajas de pasillo se sondea no tiene destino, no hay llaves de la terraza para poder tender por ahí, NO  VIABLE NO APLICA CUADRILLA /  TECNICO RAFAEL /  SUP YEISON"/>
    <s v="N/A"/>
    <s v="N/A"/>
    <s v="N/A"/>
    <d v="2026-08-22T00:00:00"/>
    <x v="16"/>
    <x v="5"/>
    <s v="N/A"/>
  </r>
  <r>
    <s v="AGOSTO"/>
    <s v="MDM-FIBRA-020108177 "/>
    <x v="2"/>
    <x v="2"/>
    <s v="CC-1016088972"/>
    <s v="VALENTINA MORA PARRA"/>
    <s v="CL 22B BIS 82 31"/>
    <s v="ZTE-COLVATEL"/>
    <s v="*INFORMATIVO*    MDM-FIBRA-020108177  se debe realizar trabajo sobre tejado cosa que no tenemos permitido por seguridad industrial se le ofrecen rutas alternas al cliente el cual no acepta VALIDA SUPERVISOR SEBASTIAN SANTOS"/>
    <s v="FONTIBON"/>
    <s v="NO VIABLE"/>
    <n v="1502"/>
    <s v="*NO VIABLE**INFORMATIVO*    MDM-FIBRA-020108177  se debe realizar trabajo sobre tejado cosa que no tenemos permitido por seguridad industrial se le ofrecen rutas alternas al cliente el cual no acepta VALIDA SUPERVISOR SEBASTIAN SANTOS"/>
    <s v="N/A"/>
    <s v="N/A"/>
    <s v="N/A"/>
    <d v="2026-08-22T00:00:00"/>
    <x v="16"/>
    <x v="5"/>
    <s v="N/A"/>
  </r>
  <r>
    <s v="AGOSTO"/>
    <s v="MDM-FIBRA-020080919"/>
    <x v="2"/>
    <x v="2"/>
    <s v="CC-52702819"/>
    <s v="CAROLINA MONSALVE BUITRAGO"/>
    <s v="KR 2 ESTE 44A 68"/>
    <s v="ZTE-BFTEL"/>
    <s v="distancia de nap asiganada a predio 273 MTS, cerca a predio nap =N1CU18_E6 cambia la molécula"/>
    <s v="CUNI"/>
    <s v="NO VIABLE"/>
    <n v="1502"/>
    <s v="No viable//distancia de nap asiganada a predio 273 MTS, cerca a predio nap =N1CU18_E6 cambia la molécula"/>
    <s v="N/A"/>
    <s v="N/A"/>
    <s v="N/A"/>
    <d v="2026-08-21T00:00:00"/>
    <x v="16"/>
    <x v="5"/>
    <s v="N/A"/>
  </r>
  <r>
    <s v="AGOSTO"/>
    <s v="MDM-FIBRA-020068332"/>
    <x v="0"/>
    <x v="0"/>
    <s v="CC-1023916511"/>
    <s v="MARIA PAULA DOMINGUEZ VELEZ"/>
    <s v="CL 57H SUR 68D 75 TO 4 AP 1209"/>
    <s v="ZTE-FODEN"/>
    <s v="no pasa la sonda y no hay guia"/>
    <s v="MUZU"/>
    <s v="CANCELADA"/>
    <n v="1502"/>
    <s v="Orden Cancelada_x000a_MDM-FIBRA-020068332_x000a_Cuadrilla en predio se marca contacto sra MARIA PAULA DOMINGUEZ VELEZ indica que decidio cancelar el servicio."/>
    <s v="N/A"/>
    <s v="N/A"/>
    <s v="N/A"/>
    <d v="2026-08-18T00:00:00"/>
    <x v="17"/>
    <x v="4"/>
    <s v="CARRO"/>
  </r>
  <r>
    <s v="AGOSTO"/>
    <s v="MDM-FIBRA-020084790"/>
    <x v="0"/>
    <x v="0"/>
    <s v="CC-1010228001"/>
    <s v="SERGIO NICOLAS ROMERO ROMERO"/>
    <s v="CL 8 10 02 CA 32"/>
    <s v="ZTE-FODEN"/>
    <s v="Ducteria obstruida  "/>
    <s v="MADRID"/>
    <s v="NO VIABLE"/>
    <n v="1502"/>
    <s v="Orden No viable_x000a_MDM-FIBRA-020084790_x000a_Cuadrilla en predio, se raliza validacion y sondeo encontrando obstruccion en cajas, cables existentes no se mueven. se lubrica ducteria, no se logra pasar. Cliente indica que validara el tema con administracion. No se generan daños ni pérdidas durante la validacion. autoriza supervisor yeison martinez."/>
    <s v="N/A"/>
    <s v="N/A"/>
    <s v="N/A"/>
    <d v="2026-08-20T00:00:00"/>
    <x v="17"/>
    <x v="3"/>
    <s v="CARRO"/>
  </r>
  <r>
    <s v="AGOSTO"/>
    <s v="MDM-FIBRA-020077445"/>
    <x v="0"/>
    <x v="0"/>
    <s v="CC-1003519804"/>
    <s v="GISELL ALEJANDRA RINCON ORTIZ"/>
    <s v="CL 2 89D 37 CA 37"/>
    <s v="ZTE-COLVATEL"/>
    <s v="Se solicita apoyo de cuadrilla ya que la sonda no pasa desde la toma de ingreso al predio hasta la primera toma de distribución"/>
    <s v="HOLANDA"/>
    <s v="NO VIABLE"/>
    <n v="1502"/>
    <s v="*Orden No viable*_x000a_MDM-FIBRA-020077445_x000a_Se realiza validacion y sondeo desde caja telefonica, se evidencia cable de cobre no se mueve, se envía sonda se escucha golpear en la pared antes de la caja de paso ubicada en la fachada, cliente indica que hace 2 años hicieron el cambio de piso en el jardin. La sonda ingresa aproximadamente 3mts y no avanza más se escucha en la pared. No se generan daños ni pérdidas durante la validacion. autoriza supervisor yeison martinez."/>
    <s v="N/A"/>
    <s v="N/A"/>
    <s v="N/A"/>
    <d v="2026-08-21T00:00:00"/>
    <x v="17"/>
    <x v="0"/>
    <s v="CARRO"/>
  </r>
  <r>
    <s v="AGOSTO"/>
    <s v="MDM-FIBRA-020100355"/>
    <x v="0"/>
    <x v="0"/>
    <s v="CC-51943262"/>
    <s v="MARIA YOLANDA VELASQUEZ VILLARRAGA"/>
    <s v="CL 10 79 85 TO 22 AP 159"/>
    <s v="ZTE-COLVATEL"/>
    <s v="obstruccion interna con comunicación hacia el predio, se envía sonda en los dos sentidos pero no llega la sonda por ningún lado"/>
    <s v="FONTIBON"/>
    <s v="SOLUCIONADA"/>
    <n v="1501"/>
    <s v="Orden Solucionada_x000a_MDM-FIBRA-020100355_x000a_Se realiza validación y sondeo desde caja telefonica, hasta llegar a caja de paso en fachada hasta llegar a strip telefonico de la antigua red de cobre, y desde alli hasta llegar a la nap asignada. En predio se deja donde es requerido. Se realiza tendido 20 Mts Baja Fríccion. No se generan daños ni pérdidas durante la instalacion. Tecnico luis hoyos."/>
    <n v="20"/>
    <s v="N/A"/>
    <s v="N/A"/>
    <d v="2026-08-21T00:00:00"/>
    <x v="17"/>
    <x v="0"/>
    <s v="CARRO"/>
  </r>
  <r>
    <s v="AGOSTO"/>
    <s v="MDM-FIBRA-020024427"/>
    <x v="0"/>
    <x v="0"/>
    <s v="CC-24317805"/>
    <s v="MARLENE GARCIA DIAZ"/>
    <s v="CL 179 76 60 CA 4"/>
    <s v="ZTE-CONECTAR"/>
    <s v="Ducteria obstruida no pasa sonda"/>
    <s v="TOBERIN"/>
    <s v="APLAZAMIENTO"/>
    <n v="1502"/>
    <s v="Aplazamiento_x000a_MDM-FIBRA-020024427_x000a_Cuadrilla en predio se marca a contacto, sra MARLENE GARCIA DIAZ, indica que no puede atender, solicita reprogramar para el dia 28-08 en am"/>
    <s v="N/A"/>
    <s v="N/A"/>
    <s v="N/A"/>
    <d v="2026-08-21T00:00:00"/>
    <x v="17"/>
    <x v="1"/>
    <s v="CARRO"/>
  </r>
  <r>
    <s v="AGOSTO"/>
    <s v="MDM-FIBRA-020098330"/>
    <x v="0"/>
    <x v="0"/>
    <s v="CC-1069432276"/>
    <s v="ANYELO SMITH RIVERA PINZON"/>
    <s v="CL 8C 92 72 CA 147"/>
    <s v="ZTE-COLVATEL"/>
    <s v="obstruccion entre cajas de comunicación a predio sonda avanza aproximadamente 4 metros y tranca la sonda no avanza más"/>
    <s v="FONTIBON"/>
    <s v="NO VIABLE"/>
    <n v="1502"/>
    <s v="Orden No viable_x000a_MDM-FIBRA-020098330_x000a_Se realiza validacion y sondeo desde caja telefonica saliendo a caja de paso en fachada, se evidencia servicio de claro y movistar en el mismo ducto, se envía sonda ingresa aproximadamente 4mts y no avanza más, se obtuvo ruta desde la nap, cruzando por strip telefonico hasta llegar 2 caja de paso, desde la caja de paso hacia el predio se encuentra obstruccion, no se logra pasar. No se generan daños ni pérdidas durante la validacion. autoriza supervisor yeison martinez."/>
    <s v="N/A"/>
    <s v="N/A"/>
    <s v="N/A"/>
    <d v="2026-08-21T00:00:00"/>
    <x v="17"/>
    <x v="0"/>
    <s v="CARRO"/>
  </r>
  <r>
    <s v="AGOSTO"/>
    <s v="MDM-FIBRA-020101767"/>
    <x v="0"/>
    <x v="0"/>
    <s v="CC-1098790889"/>
    <s v="JEISSON ANDRES JAIMES MESIAS"/>
    <s v="CL 144C 141A 48 BQ 1 CA 10"/>
    <s v="ZTE-CONECTAR"/>
    <s v="Comentarios / observación: Ductería obstruida no pasa sonda"/>
    <s v="SUBA"/>
    <s v="NO VIABLE"/>
    <n v="1502"/>
    <s v="MDM-FIBRA-020101767_x000a_No contactado_x000a_Cuadrilla en predio, recorredor del conjunto indica que no hay nadie en predio, se marca a contactos sin respuesta"/>
    <s v="N/A"/>
    <s v="N/A"/>
    <s v="N/A"/>
    <d v="2026-08-22T00:00:00"/>
    <x v="17"/>
    <x v="1"/>
    <s v="CARRO"/>
  </r>
  <r>
    <s v="AGOSTO"/>
    <s v="MDM-FIBRA-020065550"/>
    <x v="0"/>
    <x v="0"/>
    <s v="CC-80169206"/>
    <s v="GEYSON MANUEL LOZANO DELGADO"/>
    <s v="KR 80A 17 85 ET 2 TO 5 AP 220"/>
    <s v="ZTE-COLVATEL"/>
    <s v="obstrucción entre tuberías de paso se hace validación donde se encuentran cables guía pero no se mueven para ningún lado se hace ingreso con sonda la cual avanza aproximadamente 2 metros "/>
    <s v="FONTIBON"/>
    <s v="SOLUCIONADA"/>
    <n v="1502"/>
    <s v="Orden Solucionada_x000a_MDM-FIBRA-020065550_x000a_Se llega a predio, se habla con el usuario, se realiza validación y se busca la ruta desde la nap asignada hasta el predio. se tiende fibra desde la nap hasta el  punto requerido por el cliente. Se gastan 50 MTS de fibra drop de baja fricción. No se generan daños ni pérdidas durante la instalacion. Tecnico jesus silva."/>
    <n v="50"/>
    <s v="N/A"/>
    <s v="N/A"/>
    <d v="2026-08-22T00:00:00"/>
    <x v="17"/>
    <x v="3"/>
    <s v="CARRO"/>
  </r>
  <r>
    <s v="AGOSTO"/>
    <s v="MDM-FIBRA-020104796"/>
    <x v="1"/>
    <x v="1"/>
    <s v="CC-1020724931"/>
    <s v="CLAUDIO NISSIM TANTIMONACO MITRANI"/>
    <s v="CL 97A 11 31 AP S102"/>
    <s v="ZTE-NETWORKING"/>
    <s v=" Por favor escalar 1502 se valida ruta de acceso a predio se encuentra obstruccion se requiere cuadrilla de quiebre"/>
    <s v="CHICO"/>
    <s v="SOLUCIONADA"/>
    <n v="1502"/>
    <s v="*Orden Solucionada*_x000a_MDM-FIBRA-020104796_x000a_Se instalan 18 mtrs de drop de baja fricción desde la caja de paso hasta la toma principal ubicada al lado de la cocina,  por reformas solo hay una de TV en cuarto principal y una de citofono .hablamos con el usuario y acepta dejar la fibra en esta toma dejando más reserva  ya que cliente desea alidar una mejor ubicación ya que no hay más tomas. No se generan daños ni pérdidas durante la instalacion. Tecnico edwin diaz. "/>
    <n v="18"/>
    <s v="N/A"/>
    <s v="N/A"/>
    <d v="2026-08-22T00:00:00"/>
    <x v="17"/>
    <x v="2"/>
    <s v="MOTO"/>
  </r>
  <r>
    <s v="AGOSTO"/>
    <s v="MDM-FIBRA-020100310"/>
    <x v="0"/>
    <x v="0"/>
    <s v="CC-1013657969"/>
    <s v="CAMILO ANDRES TRILLEROS HERRERA"/>
    <s v="KR 54B 175 30 TO 2 AP 219"/>
    <s v="ZTE-NETWORKING"/>
    <s v=" Por favor escalar 1502 se valida ruta de acceso a predio se encuentra obstruccionobstrucción en ducteria presentada entre caja de paso de ingreso y predio"/>
    <s v="TOBERIN"/>
    <s v="APLAZAMIENTO"/>
    <n v="1502"/>
    <s v="*Aplazamiento*_x000a_MDM-FIBRA-020100310_x000a_Cuadrilla en predio, se marca a contacto sr CAMILO ANDRES TRILLEROS HERRERA indica que no puede atender, solicita reprogramar para el dia 25-08 en am "/>
    <s v="N/A"/>
    <s v="N/A"/>
    <s v="N/A"/>
    <d v="2026-08-22T00:00:00"/>
    <x v="17"/>
    <x v="1"/>
    <s v="CARRO"/>
  </r>
  <r>
    <s v="AGOSTO"/>
    <s v="MDM-FIBRA-020097468"/>
    <x v="0"/>
    <x v="0"/>
    <s v="CC-1014247070"/>
    <s v="NATHALY FORERO BERMUDEZ"/>
    <s v="CL 83 103C 55 IN 1 AP 502"/>
    <s v="ZTE-COLVATEL"/>
    <s v="Porfa or escalar 1502 se valida única ruta de acceso a predio presenta obstrucción entre cdp cables existente no se mueven"/>
    <s v="BACHUE"/>
    <s v="SOLUCIONADA"/>
    <n v="1502"/>
    <s v="Orden Solucionada_x000a_MDM-FIBRA-020097468_x000a_Se llega a predio, se habla con el usuario el cual autoriza realizar validación. Se evidencia ducteria obstruida ,se aplica jabón líquido y agua caliente dentro del predio y en cajas de paso de pasillo. Se extiende fibra desde la CT que queda en cuarto debajo de las escaleras de acceso al bloque. sube piso a piso hasta el 5,  ingresa a predio por toma principal de la sala, se lleva a cuarto de estudio por perforación realizada y se deja en punto requerido. Se gastan 40 mts de Baja Fricción. No se generan daños ni pérdidas durante la instalacion. Tecnico cesar hernandez."/>
    <n v="40"/>
    <s v="N/A"/>
    <s v="N/A"/>
    <d v="2026-08-22T00:00:00"/>
    <x v="17"/>
    <x v="1"/>
    <s v="CARRO"/>
  </r>
  <r>
    <s v="AGOSTO"/>
    <s v="MDM-FIBRA-020077859"/>
    <x v="0"/>
    <x v="0"/>
    <s v="CC-51705636"/>
    <s v="MARIA SONIA CASTAÑEDA CASTAÑEDA"/>
    <s v="KR 98B 69 06 SUR IN 202"/>
    <s v="ZTE-CONECTAR"/>
    <s v="  Se envía sonda la cual no pasa solo pasa un poquito tenemos un cable guía el cual se jala pero no se mueve ni un poquito y de la fuerza que se le hizo se alcanzó a totiar se necesita cuadrilla de quiebre"/>
    <s v="HOLANDA"/>
    <s v="SOLUCIONADA"/>
    <n v="1502"/>
    <s v="*Orden Solucionada*_x000a_MDM-FIBRA-020077859_x000a_Se ingresa al cliente, se realiza validacion y sondeo encontrando viabilidad con *cambio de NAP= =N2HO10_H2*. se realiza tendido de fibra óptica desde el punto requerido por el cliente saliendo por canaleta en fachada y posteriormente llegando a la caja de distribución en fachada, luego al strip telefónico y bajando a la caja CPS donde se encuentra la nap asignada. Se gastan 40 MTS de F.O de baja fricción. No se generan daños ni pérdidas durante la instalacion. Tecnico fredy corredor. "/>
    <n v="40"/>
    <s v="N/A"/>
    <s v="N/A"/>
    <d v="2026-08-22T00:00:00"/>
    <x v="17"/>
    <x v="4"/>
    <s v="CARRO"/>
  </r>
  <r>
    <s v="AGOSTO"/>
    <s v="MDM-FIBRA-020097038"/>
    <x v="0"/>
    <x v="0"/>
    <s v="CC-1012337705"/>
    <s v="FAIBER ANDRES OÑATE NIÑO"/>
    <s v="KR 95A 34 39 SUR IN 48 AP 502"/>
    <s v="ZTE-COLVATEL"/>
    <s v="Obstrucción en paso de sonda desde la caja de paso hasta la cámara donde se encuentra el nap_x000a_Se requiere apoyo de cuadrilla"/>
    <s v="HOLANDA"/>
    <s v="APLAZAMIENTO"/>
    <n v="1501"/>
    <s v="Aplazamiento_x000a_MDM-FIBRA-020097038_x000a_Por horario de administracion no pemriten labores, cliente solicita reprogramar para el dia 25-08 en am"/>
    <s v="N/A"/>
    <s v="N/A"/>
    <s v="N/A"/>
    <d v="2026-08-21T00:00:00"/>
    <x v="17"/>
    <x v="4"/>
    <s v="CARRO"/>
  </r>
  <r>
    <s v="AGOSTO"/>
    <s v="MDM-FIBRA-020109827"/>
    <x v="1"/>
    <x v="1"/>
    <s v="CC-1017125495"/>
    <s v="JUAN ESTEBAN PINEDA VALDERRAMA"/>
    <s v="DG 40A 8 65 AP 504"/>
    <s v="ZTE-BFTEL"/>
    <s v="se relaiza sondeo desde la canalizacion encontrando obatruccion "/>
    <s v="CUNI"/>
    <s v="SOLUCIONADA"/>
    <n v="1501"/>
    <s v="*Orden Solucionada*_x000a_MDM-FIBRA-020109827_x000a_Se instalan 38 MTRS de drop de baja fricción desde la toma de la sala, salimos perfilando por el guardescobas hasta perforacion existente en el muro de la puerta,  luego por encima del techo hacia un tubo galvanizado debajo del piso 6 hasta la caja de paso del piso 6,  luego hasta el piso 2 donde hay varias cajas de paso  dejamos la reserva para la instalación del servicio. No se generan daños ni pérdidas durante la instalacion. Tecnico edwin diaz. "/>
    <n v="38"/>
    <s v="N/A"/>
    <s v="N/A"/>
    <d v="2026-08-24T00:00:00"/>
    <x v="17"/>
    <x v="2"/>
    <s v="MOTO"/>
  </r>
  <r>
    <s v="AGOSTO"/>
    <s v="MDM-FIBRA-020083696"/>
    <x v="0"/>
    <x v="0"/>
    <s v="CC-19451050"/>
    <s v="CARLOS HUMBERTO MORENO TORRES"/>
    <s v="KR 5 6B 51 IN 4 AP 502"/>
    <s v="ZTE-BFTEL"/>
    <s v="drop a nap piso 5 a sótano por foso que está en el bañó, se envía pesa, no pasa de el piso 2 a sótano, claro"/>
    <s v="SANTA INES"/>
    <s v="SOLUCIONADA"/>
    <n v="1502"/>
    <s v="*Orden Solucionada*_x000a_MDM-FIBRA-020083696_x000a_Se llega a predio, se habla con el usuario el cual autoriza realizar validación. se evidencia ducteria telefonica obstruida, se busca ruta alterna por foso. se tiende fibra desde la nap que queda en sótano del parqueadero, se figura por techo como van los otros cables. sube por foso 1 a salir a terraza, se figura por borde. se llega a foso 2,  baja a piso 5, se saca por baño, se figura por borde de techo, ingresa a alcoba por perforación realizada, se figura hasta llegar a la sala y se deja en punto requerido. Se gastan 70 mts de Baja Fricción. No se generan daños ni pérdidas durante la instalacion. Tecnico cesar hernandez"/>
    <n v="70"/>
    <s v="N/A"/>
    <s v="N/A"/>
    <d v="2026-08-19T00:00:00"/>
    <x v="18"/>
    <x v="1"/>
    <s v="CARRO"/>
  </r>
  <r>
    <s v="AGOSTO"/>
    <s v="MDM-FIBRA-020093083"/>
    <x v="0"/>
    <x v="0"/>
    <s v="CC-79737082"/>
    <s v="JUAN RESTREPO HERNANDEZ"/>
    <s v="KR 3 1B 56 AP 805"/>
    <s v="ZTE-BFTEL"/>
    <s v=" Orden no se puede realizar ya que el tendido se realiza desde el apartamento directamente hasta la nap que está en el primer piso se envia la sonda y no pasa se tranca no hay más rutas para enviarla"/>
    <s v="SANTA INES"/>
    <s v="SOLUCIONADA"/>
    <n v="1502"/>
    <s v="*Orden Solucionada*_x000a_MDM-FIBRA-020093083_x000a_se llega a predio, se habla con el usuario el cual autoriza realizar validación. se evidencia ducteria canalizada obstruida, se aplica jabón líquido dentro del predio y por último se realizan varias pescas. se tiende fibra desde la nap asignada, pasando por 6 cajas de paso peatonal (canalizado) sube a piso 8 a salir a caja de paso en cocina. se envía por 2 alcobas por ducteria interna a salír a la sala y se deja en punto requerido . No se generan daños ni pérdidas durante la instalacion. Tecnico cesar hernandez"/>
    <s v="N/A"/>
    <s v="N/A"/>
    <s v="N/A"/>
    <d v="2026-08-21T00:00:00"/>
    <x v="18"/>
    <x v="1"/>
    <s v="CARRO"/>
  </r>
  <r>
    <s v="AGOSTO"/>
    <s v="MDM-FIBRA-020095949"/>
    <x v="0"/>
    <x v="0"/>
    <s v="CC-1233502476"/>
    <s v="ANDREA MILENA CANO RODRIGUEZ"/>
    <s v="CL 2 89D 37 CA 148"/>
    <s v="ZTE-COLVATEL"/>
    <s v=" Tec Rangel realiza validacion, encuentra obstrucción entre cámaras, toca cablear de pto a nap"/>
    <s v="HOLANDA"/>
    <s v="NO VIABLE"/>
    <n v="1502"/>
    <s v="Orden No viable_x000a_MDM-FIBRA-020095949_x000a_Se realiza validacion y sondeo desde caja telefonica, se envía sonda hasta llegar a caja fachada donde se evidencia cable neopreno, sonda tranca, La nap asignada esta al frente al predio, pero  en la caja no se ve paso hacia la casa 148 ya que esa caja alimenta  otra cuadra y no la cuadra donde esta la casa. No se generan daños ni pérdidas durante la validacion. autoriza supervisor yeison martinez"/>
    <s v="N/A"/>
    <s v="N/A"/>
    <s v="N/A"/>
    <d v="2026-08-22T00:00:00"/>
    <x v="18"/>
    <x v="0"/>
    <s v="CARRO"/>
  </r>
  <r>
    <s v="AGOSTO"/>
    <s v="MDM-FIBRA-020104067"/>
    <x v="0"/>
    <x v="0"/>
    <s v="CC-1015442042"/>
    <s v="ALEJANDRO DAVILA CASTAÑEDA"/>
    <s v="KR 72 63D 14 LC 101"/>
    <s v="ZTE-BFTEL"/>
    <s v="bstrucción caja de pasillo a toma principal de teléfono, único ingreso, sonda tranca, cables no se mueven /  TECNICO CASAS /  SUP YEISON"/>
    <s v="CUNI"/>
    <s v="APLAZAMIENTO"/>
    <n v="1501"/>
    <s v="Aplazamiento_x000a_MDM-FIBRA-020104067_x000a_Cuadrilla en predio se marca a contacto sr ALEJANDRO DAVILA CASTAÑEDAindica que solicito visita para el dia 29-08 en am."/>
    <s v="N/A"/>
    <s v="N/A"/>
    <s v="N/A"/>
    <d v="2026-08-22T00:00:00"/>
    <x v="18"/>
    <x v="1"/>
    <s v="CARRO"/>
  </r>
  <r>
    <s v="AGOSTO"/>
    <s v="MDM-FIBRA-020105356"/>
    <x v="0"/>
    <x v="0"/>
    <s v="CC-1090490765"/>
    <s v="KELY YOBANA MORENO ALFONSO"/>
    <s v="CL 69A 83 47 PI 3"/>
    <s v="ZTE-COLVATEL"/>
    <s v="Porfavor esclar1502 se valida obstruccion entre cdp por la única ruta de acceso para salir de fachada amhcia nap"/>
    <s v="BACHUE"/>
    <s v="SOLUCIONADA"/>
    <n v="1502"/>
    <s v="*Orden Solucionada*_x000a_MDM-FIBRA-020105356_x000a_Se ingresa al cliente se validan tomas telefónicas y caja de distribución en pasillo, se realiza sondeo de ductos se logra pasar.  Se realiza tendido de fibra óptica desde el punto requerido por el cliente saliendo a la caja de distribución en pasillo y posteriormente saliendo a la fachada, llegando al poste donde se encuentra la nap asignada. Se gastan 50 mts de F.O f8- 1 herraje. No se generan daños ni pérdidas durante la instalacion. Tecnico fredy corredor"/>
    <s v="50 f8"/>
    <s v="N/A"/>
    <n v="1"/>
    <d v="2026-08-22T00:00:00"/>
    <x v="18"/>
    <x v="4"/>
    <s v="CARRO"/>
  </r>
  <r>
    <s v="AGOSTO"/>
    <s v="MDM-FIBRA-020100310"/>
    <x v="1"/>
    <x v="1"/>
    <s v="CC-1013657969"/>
    <s v="CAMILO ANDRES TRILLEROS HERRERA"/>
    <s v="KR 54B 175 30 TO 2 AP 219"/>
    <s v="ZTE-NETWORKING"/>
    <s v=" Por favor escalar 1502 se valida ruta de acceso a predio se encuentra obstruccionobstrucción en ducteria presentada entre caja de paso de ingreso y predio"/>
    <s v="TOBERIN"/>
    <s v="SOLUCIONADA"/>
    <n v="1502"/>
    <s v="*Orden Solucionada*_x000a_MDM-FIBRA-020100310_x000a_Se instalan 41 MTRS de drop de baja fricción desde la caja de paso,  por ducto de TV enviamos el drop hasta la toma principal .luego hasta la toma de la habitación donde usuario solicita el servicio._x000a_No se generan daños ni pérdidas durante la instalacion. Tecnico edwin diaz"/>
    <n v="41"/>
    <s v="N/A"/>
    <s v="N/A"/>
    <d v="2026-08-22T00:00:00"/>
    <x v="18"/>
    <x v="2"/>
    <s v="MOTO"/>
  </r>
  <r>
    <s v="AGOSTO"/>
    <s v="MDM-FIBRA-020104834"/>
    <x v="0"/>
    <x v="0"/>
    <s v="CC-52073304"/>
    <s v="NANCY AMPARO BOLIVAR VARGAS"/>
    <s v="KR 73 57R 15 SUR TO 27 AP 501"/>
    <s v="ZTE-FODEN"/>
    <s v="tubería obstruida para poder pasar la fibra  "/>
    <s v="MUZU"/>
    <s v="CANCELADA"/>
    <n v="1502"/>
    <s v="*Orden Cancelada*_x000a_MDM-FIBRA-020104834_x000a_Cuadrilla en prdio se marca a contacto 3174352929 cliente indcia que decidio cancelar el servicio, no da mas informacion."/>
    <s v="N/A"/>
    <s v="N/A"/>
    <s v="N/A"/>
    <d v="2026-08-24T00:00:00"/>
    <x v="18"/>
    <x v="0"/>
    <s v="CARRO"/>
  </r>
  <r>
    <s v="AGOSTO"/>
    <s v="MDM-FIBRA-020110616"/>
    <x v="0"/>
    <x v="0"/>
    <s v="CC-1030542101"/>
    <s v="JOHAN ANDREY CHALA SANCHEZ"/>
    <s v="CL 78 78 19 AP 504"/>
    <s v="ZTE-COLVATEL"/>
    <s v="se valida obstruccion entre cdp única ruta de acceso a predio cables existentes no se pueden retirar"/>
    <s v="BACHUE"/>
    <s v="SOLUCIONADA"/>
    <n v="1502"/>
    <s v="*Orden Solucionada*_x000a_MDM-FIBRA-020110616_x000a_Se ingresa al cliente,  se validan tomas telefónicas y caja de distribución en pasillo, Se realiza sondeo de ductos se logra pasar la sonda; se realiza el tendido de fibra óptica desde el punto requerido por el cliente saliendo a la caja de distribución en pasillo y bajando por siete cajas más y posteriormente saliendo a fachada, pasando por dos postes llegando a la nap asignada. Se gastan 140 mts de F.O de f8- 4 herrajes. No se generan daños ni pérdidas durante la instalacion. Tecnico fredy corredor"/>
    <s v="140 F8"/>
    <s v="N/A"/>
    <n v="4"/>
    <d v="2026-08-24T00:00:00"/>
    <x v="18"/>
    <x v="4"/>
    <s v="CARRO"/>
  </r>
  <r>
    <s v="AGOSTO"/>
    <s v="MDM-FIBRA-020102747"/>
    <x v="0"/>
    <x v="0"/>
    <s v="CC-51650962"/>
    <s v="MARIA CELMIRA MARTINEZ TRASLAVIÑA"/>
    <s v="CL 81 114 25 IN 5 AP 203"/>
    <s v="ZTE-COLVATEL"/>
    <s v="se ve da única ruta de acceso a predio presenta obstrucción Hay que cablear de pto a nap ductos se comparten con otros operadores"/>
    <s v="BACHUE"/>
    <s v="SOLUCIONADA"/>
    <n v="1502"/>
    <s v="*Orden Solucionada*_x000a_MDM-FIBRA-020102747_x000a_Se ingresa al cliente, se validan tomas telefónicas y caja de distribución en pasillo, se realiza sondeo de ductos, se logra pasar la sonda utilizando suavizantes, se realiza tendido de fibra óptica desde el punto requerido por el cliente saliendo a la caja de distribución en pasillo, bajando al primer piso y saliendo a la caja CPD donde se encuentra la nap asignada. Se gastan 40 MTS de F.O de baja fricción. No se generan daños ni pérdidas durante la instalacion. Tecnico freddy corredor"/>
    <n v="40"/>
    <s v="N/A"/>
    <s v="N/A"/>
    <d v="2026-08-24T00:00:00"/>
    <x v="18"/>
    <x v="4"/>
    <s v="CARRO"/>
  </r>
  <r>
    <s v="AGOSTO"/>
    <s v="MDM-FIBRA-020080338"/>
    <x v="0"/>
    <x v="0"/>
    <s v="CC-1002313727"/>
    <s v="LUISA FERNANDA CONTRERAS GARCIA"/>
    <s v="CL 83 SUR 91 70 TO 5 AP 601"/>
    <s v="ZTE-CONECTAR"/>
    <s v="Ducteria obstruida no pasa sonda "/>
    <s v="HOLANDA"/>
    <s v="SOLUCIONADA"/>
    <n v="1502"/>
    <s v="Orden Solucionada_x000a_MDM-FIBRA-020080338_x000a_Se llega a predio, se habla con el usuario, se realiza validación y se busca la ruta desde la nap asignada hasta el predio. se deja fibra en punta en nap y de alli hasta donde se va a dejar el servicio. Se gastan 50 MTS de fibra drop de baja fricción. No se generan daños ni pérdidas durante la instalacion. Tecnico jesus silva"/>
    <n v="50"/>
    <s v="N/A"/>
    <s v="N/A"/>
    <d v="2026-08-20T00:00:00"/>
    <x v="18"/>
    <x v="3"/>
    <s v="CARRO"/>
  </r>
  <r>
    <s v="AGOSTO"/>
    <s v="MDM-FIBRA-020112783"/>
    <x v="0"/>
    <x v="0"/>
    <s v="CC-1007378708"/>
    <s v="VALENTINA MORENO RUIZ"/>
    <s v="CL 55A SUR 77H 70 BQ 2 AP 301"/>
    <s v="ZTE-FODEN"/>
    <s v="Ducteria obstruida para realizar instalación desde cámara a poste enel por donde van las demás acometidas"/>
    <s v="HOLANDA"/>
    <s v="APLAZAMIENTO"/>
    <n v="1502"/>
    <s v="Aplazamiento_x000a_MDM-FIBRA-020112783_x000a_Cuadrilla en predio, se marca a contacto sra VALENTINA MORENO RUIZ solicita reprogramar visita para el dia sabado 29-08 en am"/>
    <s v="N/A"/>
    <s v="N/A"/>
    <s v="N/A"/>
    <d v="2026-08-24T00:00:00"/>
    <x v="18"/>
    <x v="3"/>
    <s v="CARRO"/>
  </r>
  <r>
    <s v="AGOSTO"/>
    <s v="MDM-FIBRA-020112175"/>
    <x v="1"/>
    <x v="1"/>
    <s v="CC-1026588696"/>
    <s v="JHON STEVEN LOPEZ SOLANO"/>
    <s v="CL 165 50 28 IN 5 AP 118"/>
    <s v="ZTE-NETWORKING"/>
    <s v="se valida ruta de acceso a predio se encuentra obstruccion se requiere cuadrilla de quiebre"/>
    <s v="TOBERIN"/>
    <s v="SOLUCIONADA"/>
    <n v="1502"/>
    <s v="*Orden Solucionada*_x000a_MDM-FIBRA-020112175_x000a_Se instalan 17 mtrs de drop de baja fricción desde la caja de paso por ducto de TV enviamos el drop hasta la toma del estudio donde usuario solicita el servicio. No se generan daños ni pérdidas durante la instalacion. Tecnico Edwin diaz"/>
    <n v="17"/>
    <s v="N/A"/>
    <s v="N/A"/>
    <d v="2026-08-24T00:00:00"/>
    <x v="18"/>
    <x v="2"/>
    <s v="MOTO"/>
  </r>
  <r>
    <s v="AGOSTO"/>
    <s v="MDM-FIBRA-020097038"/>
    <x v="0"/>
    <x v="0"/>
    <s v="CC-1012337705"/>
    <s v="FAIBER ANDRES OÑATE NIÑO"/>
    <s v="KR 95A 34 39 SUR IN 48 AP 502"/>
    <s v="ZTE-COLVATEL"/>
    <s v="Obstrucción en paso de sonda desde la caja de paso hasta la cámara donde se encuentra el nap_x000a_Se requiere apoyo de cuadrilla"/>
    <s v="HOLANDA"/>
    <s v="SOLUCIONADA"/>
    <n v="1501"/>
    <s v="Orden Solucionada_x000a_hilado_x000a_MDM-FIBRA-020097038_x000a_Se llega a predio, se habla con el usuario, se realiza validación y sondeo se busca la ruta desde  NAP PRECONECTORIZADA. Se realiza hilado, se pasa por 4 camaras, 1 telefónico, 4 caja y  toma. Desde allí hasta donde se va a dejar el servicio en 2 piso. No se generan daños ni pérdidas durante la instalacion. Tecnico jesus silva"/>
    <s v="N/A"/>
    <s v="N/A"/>
    <s v="N/A"/>
    <d v="2026-08-21T00:00:00"/>
    <x v="18"/>
    <x v="3"/>
    <s v="CARRO"/>
  </r>
  <r>
    <s v="AGOSTO"/>
    <s v="MDM-FIBRA-020100374"/>
    <x v="2"/>
    <x v="2"/>
    <s v="CC-1110577766"/>
    <s v="VALERIA MUÑOZ GOMEZ"/>
    <s v="CL 151C 109A 50 CA 238"/>
    <s v="ZTE-CONECTAR"/>
    <s v="ducteria obstruida no pasa sonda se requiere ecuadrilla de quiebre"/>
    <s v="SUBA"/>
    <s v="NO VIABLE"/>
    <n v="1502"/>
    <s v="Gestionada Orden no viable_x000a_MDM-FIBRA-017405915_x000a_Se llega a predio, se empieza validación y sondeo desde  nap asignada, bajando por tubería hasta llegar a la caja de paso en piso, pasando por caja de paso en fachada en cascada hasta la casa 236. el ducto está en obstrucción, la sonda ingresa aproximadamente 60 cm y no avanza más, se aplica jabón líquido pero no se ve ningún resultado, solo hay un tubo para llegar a predio y debido remodelación en piso se ha afectado la ducteria,  se obtuvo ruta desde la nap asignada hasta la caja de paso de la casa 236 ahí se intenta método pesca pero no se logra. No se generan daños ni pérdidas durante la validación. Autoriza supervisor German Mendoza."/>
    <s v="N/A"/>
    <s v="N/A"/>
    <s v="N/A"/>
    <d v="2026-08-24T00:00:00"/>
    <x v="18"/>
    <x v="5"/>
    <s v="N/A"/>
  </r>
  <r>
    <s v="AGOSTO"/>
    <s v="MDM-FIBRA-020117075"/>
    <x v="2"/>
    <x v="2"/>
    <s v="CC-79233664"/>
    <s v="CARLOS JULIO RINCON ALEMAN"/>
    <s v="CL 63B BIS 85 15 IN 2 AP 403"/>
    <s v="ZTE-COLVATEL"/>
    <s v="se valida no se cuenta con ruta ni acometidas para llevar tendido de predio hasta nap"/>
    <s v="BACHUE"/>
    <s v="NO VIABLE"/>
    <n v="1502"/>
    <s v="No viable//se valida no se cuenta con ruta ni acometidas para llevar tendido de predio hasta nap"/>
    <s v="N/A"/>
    <s v="N/A"/>
    <s v="N/A"/>
    <d v="2026-08-25T00:00:00"/>
    <x v="18"/>
    <x v="5"/>
    <s v="N/A"/>
  </r>
  <r>
    <s v="AGOSTO"/>
    <s v="MDM-FIBRA-020074008"/>
    <x v="2"/>
    <x v="2"/>
    <s v="CC-37861160"/>
    <s v="IRLEY JOHANNA BONZA OLARTE"/>
    <s v="CL 24A 69A 32 LC 15"/>
    <s v="ZTE-BFTEL"/>
    <s v="e evidencia que remodelaron el local y taparon la tuberia de teléfono que es la.unica que comunica al sotano, es la unica comunicación al local, impidiendo asi la instalación del servicio"/>
    <s v="CUNI"/>
    <s v="NO VIABLE"/>
    <n v="1502"/>
    <s v="No viable//e evidencia que remodelaron el local y taparon la tuberia de teléfono que es la.unica que comunica al sotano, es la unica comunicación al local, impidiendo asi la instalación del servicio"/>
    <s v="N/A"/>
    <s v="N/A"/>
    <s v="N/A"/>
    <d v="2026-08-25T00:00:00"/>
    <x v="18"/>
    <x v="5"/>
    <s v="N/A"/>
  </r>
  <r>
    <s v="AGOSTO"/>
    <s v="MDM-FIBRA-020115814"/>
    <x v="2"/>
    <x v="2"/>
    <s v="CC-1026302102"/>
    <s v="CARLOS ANDRES DIAZ AVENDAÑO"/>
    <s v="KR 13A 24A 28 AP 104"/>
    <s v="ZTE-BFTEL"/>
    <s v="Inviable porque se requiere apoyo en fachadas de otros predios sin autorización. Se verifica y no tenemos tubos de acceso de la nap hacia las fachadas no hay como llegar hasta el predio"/>
    <s v="CUNI"/>
    <s v="NO VIABLE"/>
    <n v="1502"/>
    <s v="No viable//Inviable porque se requiere apoyo en fachadas de otros predios sin autorización. Se verifica y no tenemos tubos de acceso de la nap hacia las fachadas no hay como llegar hasta el predio"/>
    <s v="N/A"/>
    <s v="N/A"/>
    <s v="N/A"/>
    <d v="2026-08-25T00:00:00"/>
    <x v="18"/>
    <x v="5"/>
    <s v="N/A"/>
  </r>
  <r>
    <s v="AGOSTO"/>
    <s v="MDM-FIBRA-020086886"/>
    <x v="0"/>
    <x v="0"/>
    <s v="CC-1001941740"/>
    <s v="DALITH JESUS HERNANDEZ ROMERO"/>
    <s v="DG 46A SUR 51D 95 PI 3"/>
    <s v="ZTE-FODEN"/>
    <s v="tubería obstruida para poder pasar la fibra  "/>
    <s v="MUZU"/>
    <s v="NO VIABLE"/>
    <n v="1502"/>
    <s v="Orden No viable_x000a_MDM-FIBRA-020086886_x000a_Se llega a predio se realiza validacion y sondeo desde caja telefonica donde se evidencia que los ductos van hacia arriba, se envía sonda d ingresa más de 10 mts y sigue avanzando, ya que la distancia de la caja telefonica hacia la caja de paso solo hay 5mts y la sonda sigue avanzando. Se valida desde la caja de paso sonda se escucha en techo drywall, el techo no cuenta con cajas de paso y las lamparas no se pueden tocar orden del Administrador del edificio. No se generan daños ni pérdidas durante la validacion. autoriza supervisor yeison martinez."/>
    <s v="N/A"/>
    <s v="N/A"/>
    <s v="N/A"/>
    <d v="2026-08-24T00:00:00"/>
    <x v="19"/>
    <x v="0"/>
    <s v="CARRO"/>
  </r>
  <r>
    <s v="AGOSTO"/>
    <s v="MDM-FIBRA-020107468"/>
    <x v="0"/>
    <x v="0"/>
    <s v="CC-1016092233"/>
    <s v="ASHLEY NATALIA ARAGON DIAZ"/>
    <s v="KR 62 64 75 BQ D IN 18"/>
    <s v="ZTE-NETWORKING"/>
    <s v="se valida ruta de acceso a predio presenta obstrucción"/>
    <s v="CHICO"/>
    <s v="NO VIABLE"/>
    <n v="1502"/>
    <s v="No contactado_x000a_MDM-FIBRA-020107468_x000a_Cuadrilla en predio, seguridad indica que no hay nadie. Se marca a numeros de contactos 3203268416 (correo de voz) 3214522816 no responde"/>
    <s v="N/A"/>
    <s v="N/A"/>
    <s v="N/A"/>
    <d v="2026-08-24T00:00:00"/>
    <x v="19"/>
    <x v="3"/>
    <s v="CARRO"/>
  </r>
  <r>
    <s v="AGOSTO"/>
    <s v="MDM-FIBRA-020109938"/>
    <x v="0"/>
    <x v="0"/>
    <s v="CC-1121831342"/>
    <s v="DIANA MAYERLY ESPINOSA PEÑA"/>
    <s v="KR 87B 8A 72 TO 4 AP 516"/>
    <s v="ZTE-COLVATEL"/>
    <s v="se evidencia dificultad para tender la fibra a desde toma de ingreso a caja de distribución de piso,  debido a un tubo desencajado, se requiere apoyo de cuadrilla"/>
    <s v="FONTIBON"/>
    <s v="NO VIABLE"/>
    <n v="1502"/>
    <s v="No contactado_x000a_MDM-FIBRA-020109938_x000a_Cuadrilla en predio, seguridad indica que no hay nadie. Se marca a numero de contactos 3138714773 no responde"/>
    <s v="N/A"/>
    <s v="N/A"/>
    <s v="N/A"/>
    <d v="2026-08-24T00:00:00"/>
    <x v="19"/>
    <x v="4"/>
    <s v="CARRO"/>
  </r>
  <r>
    <s v="AGOSTO"/>
    <s v="MDM-FIBRA-020112497"/>
    <x v="0"/>
    <x v="0"/>
    <s v="CC-1026588696"/>
    <s v="JHON STEVEN LOPEZ SOLANO"/>
    <s v="CL 2 93D 35 TO 10 AP 501"/>
    <s v="ZTE-COLVATEL"/>
    <s v=" presentamos obstrucción entre la caja de paso del primer piso y la cámara donde se encuentra el NAP/CTO asignado,"/>
    <s v="CALANDAIMA"/>
    <s v="SOLUCIONADA"/>
    <n v="1502"/>
    <s v="Orden Solucionada_x000a_Hilado_x000a_MDM-FIBRA-020112497_x000a_Se ingresa al cliente, se validan tomas telefónicas y caja de distribución en pasillo, se realiza sondeo de ductos se logra pasar la sonda y se valida ruta. se realiza hilado desde el punto requerido por el cliente saliendo a la caja de distribución en pasillo y posteriormente bajando por cuatro cajas más hasta llegar al primer piso, saliendo a la cámara de codensa donde se encuentra la ct asignada. No se generan daños ni pérdidas durante la instalacion. Tecnico Fredy corredor"/>
    <s v="N/A"/>
    <s v="N/A"/>
    <s v="N/A"/>
    <d v="2026-08-24T00:00:00"/>
    <x v="19"/>
    <x v="4"/>
    <s v="CARRO"/>
  </r>
  <r>
    <s v="AGOSTO"/>
    <s v="MDM-FIBRA-020103547"/>
    <x v="0"/>
    <x v="0"/>
    <s v="CC-52528493"/>
    <s v="INGRID YOLANDA BANDERA RIAÑO"/>
    <s v="CL 5 SUR 78P 17 AP 302"/>
    <s v="ZTE-FODEN"/>
    <s v="Ducteria obstruida "/>
    <s v="MUZU"/>
    <s v="SOLUCIONADA"/>
    <n v="1502"/>
    <s v="*Orden Solucionada*_x000a_MDM-FIBRA-020103547_x000a_Se realiza validacion y sondeo desde caja telefonica, cliente no cuenta con caja telefonica se realizó perforación en la esquina de una ventana para poder salir del apto,  baja hasta llegar al primer piso, se ingresa a strip telefonico, hasta llegar a nap asignada. Se gastan 30Mts Baja Fricción. No se generan daños ni pérdidas durante la instalacion. Tecnico luis hoyos."/>
    <n v="30"/>
    <s v="N/A"/>
    <s v="N/A"/>
    <d v="2026-08-24T00:00:00"/>
    <x v="19"/>
    <x v="0"/>
    <s v="CARRO"/>
  </r>
  <r>
    <s v="AGOSTO"/>
    <s v="MDM-FIBRA-020097197"/>
    <x v="1"/>
    <x v="1"/>
    <s v="CC-1020771197"/>
    <s v="DANIEL FERNANDEZ ALARCON"/>
    <s v="CL 81 10 32 AP 201"/>
    <s v="ZTE-NETWORKING"/>
    <s v="se valida ruta de acceso a predio se encuentra obstruccion se requiere cuadrilla de quiebre"/>
    <s v="CHICO"/>
    <s v="CANCELADA"/>
    <n v="1502"/>
    <s v="*Orden Cancelada*_x000a_MDM-FIBRA-020097197_x000a_Cuadrilla en predio, se marca a contacto 3118539784 sr DANIEL FERNANDEZ ALARCONindica que cancelo el servicio, solicita que no le marquen mas."/>
    <s v="N/A"/>
    <s v="N/A"/>
    <s v="N/A"/>
    <d v="2026-08-25T00:00:00"/>
    <x v="19"/>
    <x v="2"/>
    <s v="MOTO"/>
  </r>
  <r>
    <s v="AGOSTO"/>
    <s v="MDM-FIBRA-020055849"/>
    <x v="1"/>
    <x v="1"/>
    <s v="CC-79942682"/>
    <s v="RAUL EDUARDO PINILLA MORALES"/>
    <s v="KR 16 82 74 CN 505"/>
    <s v="ZTE-NETWORKING"/>
    <s v="se valida ruta de acceso a predio se encuentra obstruccion se requiere cuadrilla de quiebre"/>
    <s v="CHICO"/>
    <s v="SOLUCIONADA"/>
    <n v="1502"/>
    <s v="*Orden Solucionada*_x000a_MDM-FIBRA-020055849_x000a_se instalan 17 mtrs de drop de baja fricción desde la caja de paso por ducto de telefonía hasta la toma principal en recepción donde solicita el servicio. No se generan daños ni pérdidas durante la instalacion. Tecnico Edwin diaz. *No se encontro dificultad en el tendido*_x000a_"/>
    <n v="17"/>
    <s v="N/A"/>
    <s v="N/A"/>
    <d v="2026-08-25T00:00:00"/>
    <x v="19"/>
    <x v="2"/>
    <s v="MOTO"/>
  </r>
  <r>
    <s v="AGOSTO"/>
    <s v="MDM-FIBRA-020114983"/>
    <x v="0"/>
    <x v="0"/>
    <s v="CC-1031124403"/>
    <s v="NYDIA ZORAIDA LEON VELASQUEZ"/>
    <s v="CL 49A SUR 37 22 AP 502"/>
    <s v="ZTE-FODEN"/>
    <s v="tubería obstruida para poder pasar la fibra "/>
    <s v="MUZU"/>
    <s v="APLAZAMIENTO"/>
    <n v="1502"/>
    <s v="Aplazamiento_x000a_MDM-FIBRA-020114983_x000a_Cuadrilla en predio se marca a contacto 3196308460 sra NYDIA ZORAIDA LEON VELASQUEZ indica que no puede atender, solicita reprogramar para el dia 27-08 en am."/>
    <s v="N/A"/>
    <s v="N/A"/>
    <s v="N/A"/>
    <d v="2026-08-25T00:00:00"/>
    <x v="19"/>
    <x v="0"/>
    <s v="CARRO"/>
  </r>
  <r>
    <s v="AGOSTO"/>
    <s v="MDM-FIBRA-020111878"/>
    <x v="0"/>
    <x v="0"/>
    <s v="CC-85475391"/>
    <s v="YERSON ALFONSO FULA YEPES"/>
    <s v="CL 187 BIS 20 45 CA 28"/>
    <s v="ZTE-NETWORKING"/>
    <s v="Ductería obstruida no pasa sonda"/>
    <s v="TOBERIN"/>
    <s v="SOLUCIONADA"/>
    <n v="1502"/>
    <s v="*Orden Solucionada*_x000a_MDM-FIBRA-020111878_x000a_Se llega a predio, se habla con el usuario el cual autoriza realizar validación. no se evidencian tomas telefónicas, de tv ni de citofonia. se busca ruta alterna por fachada. se tiende fibra desde la nap, pasando por 8 cajas de paso peatonal (canalizado) solo codensa internas del conjunto y 3 cajas de paso mural. se figura por guardaescobas de fachada dándole la vuelta por borde, ingresa a predio por perforación realizada en piso 3 a llegar a estudio y se deja en punto requerido. se gastan 140 mts de baja fricción. No se generan daños ni pérdidas durante la instalacion. Tecnico cesar hernandez"/>
    <n v="140"/>
    <s v="N/A"/>
    <s v="N/A"/>
    <d v="2026-08-25T00:00:00"/>
    <x v="19"/>
    <x v="1"/>
    <s v="CARRO"/>
  </r>
  <r>
    <s v="AGOSTO"/>
    <s v="MDM-FIBRA-020115413"/>
    <x v="0"/>
    <x v="0"/>
    <s v="CC-1019056199"/>
    <s v="DANIEL MARIN SANZ"/>
    <s v="CL 148 56A 55 IN 3 AP 303"/>
    <s v="ZTE-CONECTAR"/>
    <s v="No hay comunicación entre las cajas y la sonda no pasa "/>
    <s v="TOBERIN"/>
    <s v="SOLUCIONADA"/>
    <n v="1502"/>
    <s v="*Orden Solucionada*_x000a_MDM-FIBRA-020115413_x000a_Se llega a predio, se habla con el usuario el cual autoriza realizar validación. no se evidencian tomas telefónicas, se busca ruta por toma de tv. se aplica jabón líquido, agua caliente y por último se realiza pesca. se tiende fibra desde la pdp que queda en caja de paso de pasillo, ingresa a predio por toma de tv en pasillo interno, se llega a estudio y se deja en punto requerido por el cliente. _x000a_se gastan 30 mts de baja fricción. No se generan daños ni pérdidas durante la instalacion. Tecnico cesar hernandez"/>
    <n v="30"/>
    <s v="N/A"/>
    <s v="N/A"/>
    <d v="2026-08-25T00:00:00"/>
    <x v="19"/>
    <x v="1"/>
    <s v="CARRO"/>
  </r>
  <r>
    <s v="AGOSTO"/>
    <s v="MDM-FIBRA-020113789"/>
    <x v="0"/>
    <x v="0"/>
    <s v="NIT-900127054"/>
    <s v="INSTITUTO DISTRITAL DE LA PARTICIPACION Y ACCION COMUNAL"/>
    <s v="DG 86A 103C 80 MJ"/>
    <s v="ZTE-COLVATEL"/>
    <s v="se valida unica ruta de acceso a predio presenta obstrucción entre cdp cables existente no se mueven sonda choca se atasca toca cablear de pto a nap"/>
    <s v="BACHUE"/>
    <s v="SOLUCIONADA"/>
    <n v="1502"/>
    <s v="Orden Solucionada_x000a_MDM-FIBRA-020113789_x000a_Se llega a predio, se habla con el usuario, se realiza validación y se busca la ruta desde la nap, se pasa por 5 cámaras  y 1 toma. Se deja fibra en punta en nap y de alli hasta donde se va a dejar el servicio. Se gastan 180 MTS de fibra drop de baja fricción. No se generan daños ni pérdidas durante la instalacion. Tecnico Jesus silva"/>
    <n v="180"/>
    <s v="N/A"/>
    <s v="N/A"/>
    <d v="2026-08-25T00:00:00"/>
    <x v="19"/>
    <x v="3"/>
    <s v="CARRO"/>
  </r>
  <r>
    <s v="AGOSTO"/>
    <s v="MDM-FIBRA-020124077"/>
    <x v="1"/>
    <x v="1"/>
    <s v="CC-79156768"/>
    <s v="ROBERTO MEJIA PARDO"/>
    <s v="KR 7 84B 46 AP 301"/>
    <s v="ZTE-NETWORKING"/>
    <s v="se valida ruta de acceso a predio presenta obstrucción"/>
    <s v="CHICO"/>
    <s v="NO VIABLE"/>
    <n v="1502"/>
    <s v="*Orden No viable*_x000a_MDM-FIBRA-020124077_x000a_Se válida toma principal del apartamento hacia la caja de paso, evidenciamos que la sonda ingresan aproximadamente 1.50 CM no pasa y de la caja de paso por ducto de telefonía la sonda alncaza a ingresar 1.50 CM y queda trancada. no hay más tomas por validar. No se generan daños ni pérdidas durante la validacion. autoriza supervisor yeison martinez."/>
    <s v="N/A"/>
    <s v="N/A"/>
    <s v="N/A"/>
    <d v="2026-08-26T00:00:00"/>
    <x v="19"/>
    <x v="2"/>
    <s v="MOTO"/>
  </r>
  <r>
    <s v="AGOSTO"/>
    <s v="MDM-FIBRA-020122828"/>
    <x v="2"/>
    <x v="2"/>
    <s v="CC-80747188"/>
    <s v="ALEXANDER GUERRA OSORIO"/>
    <s v="CL 6A 87A 51 IN 7 AP 201"/>
    <s v="ZTE-COLVATEL"/>
    <s v="no hay cómo realizar el tendido de la fibra el único atendido vial es por el tejado de el edificio no tenemos permitido trabajar sobre Tejas y no hay más nap cercanas para realizar la instalación"/>
    <s v="FONTIBON"/>
    <s v="NO VIABLE"/>
    <n v="1502"/>
    <s v="No viable//no hay cómo realizar el tendido de la fibra el único atendido vial es por el tejado de el edificio no tenemos permitido trabajar sobre Tejas y no hay más nap cercanas para realizar la instalación"/>
    <s v="N/A"/>
    <s v="N/A"/>
    <s v="N/A"/>
    <d v="2026-08-26T00:00:00"/>
    <x v="19"/>
    <x v="5"/>
    <s v="N/A"/>
  </r>
  <r>
    <s v="AGOSTO"/>
    <s v="MDM-FIBRA-020111450"/>
    <x v="0"/>
    <x v="0"/>
    <s v="CC-53103176"/>
    <s v="MILENA ZAMBRANO JIMENEZ"/>
    <s v="CL 82 112G 03"/>
    <s v="ZTE-COLVATEL"/>
    <s v="se valida única ruta de acceso a predio presenta obstruccion toca cablear de pto a nap se envía sonda sin exito se atasca"/>
    <s v="BACHUE"/>
    <s v="SOLUCIONADA"/>
    <n v="1502"/>
    <s v="*Orden Solucionada*_x000a_MDM-FIBRA-020111450_x000a_Se llega a predio, se habla con el usuario, nos permite el ingreso para realizar la validación. se extiende fibra desde la nap, se pasa por 3 cámaras  hasta el  punto requerido por el cliente. Se gastan 140 MTS de fibra drop de baja fricción. No se generan daños ni pérdidas durante la instalacion. Tecnico Jesus silva"/>
    <n v="140"/>
    <s v="N/A"/>
    <s v="N/A"/>
    <d v="2026-08-26T00:00:00"/>
    <x v="19"/>
    <x v="3"/>
    <s v="CARRO"/>
  </r>
  <r>
    <s v="AGOSTO"/>
    <s v="MDM-FIBRA-020124303"/>
    <x v="2"/>
    <x v="2"/>
    <s v="CC-79233664"/>
    <s v="CARLOS JULIO RINCON ALEMAN"/>
    <s v="CL 63B BIS 85 15 IN 2 AP 403"/>
    <s v="ZTE-COLVATEL"/>
    <s v="se valida no se cuenta con ruta ni acometidas para llevar tendido de predio hasta nap"/>
    <s v="BACHUE"/>
    <s v="NO VIABLE"/>
    <n v="1502"/>
    <s v="No viable//se valida no se cuenta con ruta ni acometidas para llevar tendido de predio hasta nap"/>
    <s v="N/A"/>
    <s v="N/A"/>
    <s v="N/A"/>
    <d v="2026-08-26T00:00:00"/>
    <x v="19"/>
    <x v="5"/>
    <s v="N/A"/>
  </r>
  <r>
    <s v="AGOSTO"/>
    <s v="MDM-FIBRA-020067643"/>
    <x v="0"/>
    <x v="0"/>
    <s v="CC-1024525584"/>
    <s v="MARIO RODOLFO ACOSTA NAVARRETE"/>
    <s v="KR 59B BIS 128B 11 BQ 1 IN 6"/>
    <s v="ZTE-CONECTAR"/>
    <s v="observación: Se evidencia que no hay comunicación de la caja al apartamento"/>
    <s v="SUBA"/>
    <s v="CANCELADA"/>
    <n v="1502"/>
    <s v="*Orden Cancelada*_x000a_MDM-FIBRA-020067643_x000a_Cuadrilla en predio, se marca a contacto 3192973325 sr MARIO RODOLFO ACOSTA NAVARRETE, indica que decidio cancelar el servicio no da mas informacion. _x000a_No contactado"/>
    <s v="N/A"/>
    <s v="N/A"/>
    <s v="N/A"/>
    <d v="2026-08-14T00:00:00"/>
    <x v="20"/>
    <x v="3"/>
    <s v="CARRO"/>
  </r>
  <r>
    <s v="AGOSTO"/>
    <s v="MDM-FIBRA-020107799"/>
    <x v="0"/>
    <x v="0"/>
    <s v="CC-1018460430"/>
    <s v="EDUARDO ALFONSO PEÑA WALTEROS"/>
    <s v="CL 73 22 33 PI 2"/>
    <s v="ZTE-NETWORKING"/>
    <s v="se valida ruta de acceso a predio se encuentra obstruccion se requiere cuadrilla de quiebre"/>
    <s v="CHICO"/>
    <s v="APLAZAMIENTO"/>
    <n v="1502"/>
    <s v="Aplazamiento_x000a_MDM-FIBRA-020107799_x000a_Cuadrilla en predio, cliente indica que no puede atender, solicita reprogramar para el dia 28-08 en am"/>
    <s v="N/A"/>
    <s v="N/A"/>
    <s v="N/A"/>
    <d v="2026-08-25T00:00:00"/>
    <x v="20"/>
    <x v="4"/>
    <s v="CARRO"/>
  </r>
  <r>
    <s v="AGOSTO"/>
    <s v="MDM-FIBRA-020104067"/>
    <x v="0"/>
    <x v="0"/>
    <s v="NIT-901967199"/>
    <s v="EDIFICIO CENTRO MEDICO COUNTRY 80 ETAPA II - PH"/>
    <s v="KR 18 80 52 AD 1"/>
    <s v="ZTE-NETWORKING"/>
    <s v="se valida ruta de acceso a predio se encuentra obstruccion se requiere cuadrilla de quiebre"/>
    <s v="CHICO"/>
    <s v="SOLUCIONADA"/>
    <n v="1502"/>
    <s v="*Orden Solucionada*_x000a_MDM-FIBRA-020108539_x000a_Se ingresa al cliente, se validan tomas telefónicas y cajas de distribución en techo drywall,  se realiza tendido de fibra óptica desde el punto requerido por el cliente en segundo piso, pasando por techo drywall, bajando al sótano donde se encuentra la nap asignada. Se deja guia para que el técnico baje UTP para instalación de repetidor en primer piso. Se gastan 35 MTS de F.O de baja fricción. No se generan daños ni pérdidas durante la instalacion. Tecnico fredy corredor"/>
    <n v="35"/>
    <s v="N/A"/>
    <s v="N/A"/>
    <d v="2026-08-25T00:00:00"/>
    <x v="20"/>
    <x v="4"/>
    <s v="CARRO"/>
  </r>
  <r>
    <s v="AGOSTO"/>
    <s v="MDM-FIBRA-020114761"/>
    <x v="0"/>
    <x v="0"/>
    <s v="CC-52496936"/>
    <s v="ELIZABETH VILLARRAGA SALAMANCA"/>
    <s v="CL 88B 110 30"/>
    <s v="ZTE-CONECTAR"/>
    <s v="obstrucción entre cajas de paso para hacer ingreso de fibra al predio sonda avanza aproximadamente 6 m y tranque no avanza más"/>
    <s v="BACHUE"/>
    <s v="SOLUCIONADA"/>
    <n v="1502"/>
    <s v="Orden Solucionada_x000a_MDM-FIBRA-020114761_x000a_Se llega a predio, se habla con el usuario el cual autoriza realizar validación. se evidencia telefónica. se aplica jabón líquido, agua caliente y por último se realiza pesca. se tiende fibra desde la nap, pasando por 6 cajas de paso peatonal (canalizado) y 2 murales. Ingresa a predio por toma principal del estudio y se deja en punto requerido. se gastan 80 mts de baja fricción. No se generan daños ni pérdidas durante la instalacion. Tecnico Cesar hernandez"/>
    <n v="80"/>
    <s v="N/A"/>
    <s v="N/A"/>
    <d v="2026-08-25T00:00:00"/>
    <x v="20"/>
    <x v="1"/>
    <s v="CARRO"/>
  </r>
  <r>
    <s v="AGOSTO"/>
    <s v="MDM-FIBRA-020103028"/>
    <x v="0"/>
    <x v="0"/>
    <s v="CC-1024571465"/>
    <s v="JESUS SANTIAGO GARZON SERNA"/>
    <s v="CL 62A SUR 73C 21 TO 14 AP 353"/>
    <s v="ZTE-BFTEL"/>
    <s v="obstrucción caja de pasillo a toma principal de teléfono, único ingreso, sonda atascada, desempataron el tubo Tec de otro operador, no hay cables"/>
    <s v="MUZU"/>
    <s v="NO VIABLE"/>
    <n v="1502"/>
    <s v="MDM-FIBRA-020103028_x000a_Cuadrilla en predio, se marca 3105511560 correo de voz, 3155381638 cliente no repsonde, seguridad indica que no responden."/>
    <s v="N/A"/>
    <s v="N/A"/>
    <s v="N/A"/>
    <d v="2026-08-26T00:00:00"/>
    <x v="20"/>
    <x v="0"/>
    <s v="CARRO"/>
  </r>
  <r>
    <s v="AGOSTO"/>
    <s v="MDM-FIBRA-020120367"/>
    <x v="0"/>
    <x v="0"/>
    <s v="CC-1073154063"/>
    <s v="JAVIER ORLANDO BAQUERO ORTIZ"/>
    <s v="KR 79F 49 44 SUR IN 5 AP 404"/>
    <s v="ZTE-FODEN"/>
    <s v="se llega al predio se evidencia ducteri obstruida en caja de paso se envia evidencia "/>
    <s v="HOLANDA"/>
    <s v="APLAZAMIENTO"/>
    <n v="1502"/>
    <s v="Aplazamiento_x000a_MDM-FIBRA-020120367_x000a_Cuadrilla en predio, se marca 3143995693 JAVIER ORLANDO BAQUERO ORTIZ solicita reprogramar para el dia 28-08 en am"/>
    <s v="N/A"/>
    <s v="N/A"/>
    <s v="N/A"/>
    <d v="2026-08-26T00:00:00"/>
    <x v="20"/>
    <x v="0"/>
    <s v="CARRO"/>
  </r>
  <r>
    <s v="AGOSTO"/>
    <s v="MDM-FIBRA-020120849"/>
    <x v="0"/>
    <x v="0"/>
    <s v="CC-19266349"/>
    <s v="ALEJANDRO HERNANDEZ VALENZUELA"/>
    <s v="CL 169B 75 73 CA 162"/>
    <s v="ZTE-CONECTAR"/>
    <s v=" Se evidencia que se  solicita cuadrilla de quiebre para poder realizar la instalación por el tipo de ducteria"/>
    <s v="TOBERIN"/>
    <s v="SOLUCIONADA"/>
    <n v="1502"/>
    <s v="Orden Solucionada_x000a_MDM-FIBRA-020120849_x000a_Se llega a predio, se habla con el usuario, nos permite el ingreso para realizar la validación, se realiza validación, se extiende fibra desde la nap, se pasa por 5 cámaras, 1 caja y  3 toma hasta el  punto requerido por el cliente. Se gastan 110 MTS de fibra drop de baja fricción. No se generan daños ni pérdidas durante la instalacion. Tecnico jesus silva"/>
    <n v="110"/>
    <s v="N/A"/>
    <s v="N/A"/>
    <d v="2026-08-26T00:00:00"/>
    <x v="20"/>
    <x v="3"/>
    <s v="CARRO"/>
  </r>
  <r>
    <s v="AGOSTO"/>
    <s v="MDM-FIBRA-020123350"/>
    <x v="0"/>
    <x v="0"/>
    <s v="CC-39521864"/>
    <s v="NUBIA CRUZ DE TRIVIÑO"/>
    <s v="KR 91A 73A 80 BQ 7 CA 11"/>
    <s v="ZTE-COLVATEL"/>
    <s v="obstrucción entre cajas de paso para realizar el tendido del cableado "/>
    <s v="BACHUE"/>
    <s v="SOLUCIONADA"/>
    <n v="1502"/>
    <s v="Orden Solucionada_x000a_MDM-FIBRA-020123350_x000a_Se llega a predio, se habla con el usuario el cual autoriza realizar validación. se evidencia ducteria obstruida, se aplica jabón líquido, agua caliente y por último se realizan varias pescas. se tiende fibra desde la nap, pasando por 8 cajas de paso mural y 2 cajas de paso peatonal (canalizado). se ingresa a predio por toma principal de la sala en piso 1 y se deja en punto requerido. se gastan 100 mts de baja fricción. No se generan daños ni pérdidas durante la instalacion. Tecnico cesar hernandez"/>
    <n v="100"/>
    <s v="N/A"/>
    <s v="N/A"/>
    <d v="2026-08-26T00:00:00"/>
    <x v="20"/>
    <x v="1"/>
    <s v="CARRO"/>
  </r>
  <r>
    <s v="AGOSTO"/>
    <s v="MDM-FIBRA-020114983"/>
    <x v="0"/>
    <x v="0"/>
    <s v="CC-1031124403"/>
    <s v="NYDIA ZORAIDA LEON VELASQUEZ"/>
    <s v="CL 49A SUR 37 22 AP 502"/>
    <s v="ZTE-FODEN"/>
    <s v="tubería obstruida para poder pasar la fibra "/>
    <s v="MUZU"/>
    <s v="SOLUCIONADA"/>
    <n v="1502"/>
    <s v="Orden Solucionada_x000a_MDM-FIBRA-020114983_x000a_Se realiza validacion desde sala, sonda  llega a habitacion hasta llegar a caja principal, desde alli a caja de paso en drywall, se baja por caja de paso 3 pisos hasta llegar a fachada, en fachada se lleva hacia poste. Se gasatn 95 Mts Indoor-01 Herraje. No se generan daños ni pérdidas durante la instalacion. Tecnico luis hoyos"/>
    <s v="N/A"/>
    <n v="95"/>
    <n v="1"/>
    <d v="2026-08-25T00:00:00"/>
    <x v="20"/>
    <x v="0"/>
    <s v="CARRO"/>
  </r>
  <r>
    <s v="AGOSTO"/>
    <s v="MDM-FIBRA-020118325"/>
    <x v="1"/>
    <x v="1"/>
    <s v="CC-1082911903"/>
    <s v="ORIANA GALOFRE CHARRIS"/>
    <s v="KR 10A 119 49 AP 210"/>
    <s v="ZTE-NETWORKING"/>
    <s v="no se logra pasar sonda, solo pasa 4 metros y queda bloqueada se requiere de cuadrilla para poder entregar el servicio "/>
    <s v="CHICO"/>
    <s v="SOLUCIONADA"/>
    <n v="1502"/>
    <s v="Orden Solucionada_x000a_MDM-FIBRA-020118325_x000a_Se instalan 41 MTRS de drop de baja fricción desde la caja de paso,  por ducto de citofonia enviamos el drop hasta la toma principal ubicada en la cocina,  luego pasamos a la toma principal de teléfono en el mismo muro, ingresamos por toma de teléfono hasta la toma de la habitación, se perfila por el guardescobas dando la vuelta al cuarto dejando la respectiva reserva en la toma de TV donde la usuaria solicita el servicio. No se generan daños ni pérdidas durante la instalacion. Tecnico edwin diaz"/>
    <n v="41"/>
    <s v="N/A"/>
    <s v="N/A"/>
    <d v="2026-08-26T00:00:00"/>
    <x v="20"/>
    <x v="2"/>
    <s v="MOTO"/>
  </r>
  <r>
    <s v="AGOSTO"/>
    <s v="MDM-FIBRA-020112203"/>
    <x v="1"/>
    <x v="1"/>
    <s v="CC-52267590"/>
    <s v="SANDRA PATRICIA CRUZ VALLEJO"/>
    <s v="KR 94 153 90 IN 1 AP 106"/>
    <s v="ZTE-CONECTAR"/>
    <s v="Se evidencia que la sonda no pasa completa, no llega a la caja de paso "/>
    <s v="SUBA"/>
    <s v="NO VIABLE"/>
    <n v="1502"/>
    <s v="*Orden No viable*_x000a_MDM-FIBRA-020112203_x000a_Realizamos validacion de ruta para tendido, se evidencia que el tubo que va de la toma principal hacia la caja de paso esta caído, la sonda se va por fuera, no hay como subirlo a la pdp y de afuera hacia adentro la sonda ingresa  2 metros y queda trancada. no hay caja de TV y la caja de citofonos está por otro muro, administración no autoriza instalar cables por áreas comunes .la TV va por fachada por no hay ingreso;  en el predio hay solo dos tomas una de teléfono en la sala y una de TV en alcoba principal. No se generan daños ni pérdidas durante la validacion. autoriza supervisor yeison martinez."/>
    <s v="N/A"/>
    <s v="N/A"/>
    <s v="N/A"/>
    <d v="2026-08-26T00:00:00"/>
    <x v="20"/>
    <x v="2"/>
    <s v="MOTO"/>
  </r>
  <r>
    <s v="AGOSTO"/>
    <s v="MDM-FIBRA-020128197"/>
    <x v="2"/>
    <x v="2"/>
    <s v="CC-52828522"/>
    <s v="ZUJEY VIVIANA RIVAS GIRALDO"/>
    <s v="DG 46 16 12 AP 404"/>
    <s v="ZTE-BFTEL"/>
    <s v=" se evidencia que la unica ruta de ingreso al apt es por tuberia de citofonia pero el cliente no cuenta con toma eléctrica para poder dejarla ont en ese punto, se debe pasar la fibra a otro punto donde si hay electricidad pero queda cableado a la vista, cliente no acepta por estética tampoco acepta canaletas,  no hay mas rutas de instalacion"/>
    <s v="CUNI"/>
    <s v="NO VIABLE"/>
    <n v="1502"/>
    <s v="No viable// se evidencia que la unica ruta de ingreso al apt es por tuberia de citofonia pero el cliente no cuenta con toma eléctrica para poder dejarla ont en ese punto, se debe pasar la fibra a otro punto donde si hay electricidad pero queda cableado a la vista, cliente no acepta por estética tampoco acepta canaletas,  no hay mas rutas de instalacion"/>
    <s v="N/A"/>
    <s v="N/A"/>
    <s v="N/A"/>
    <d v="2026-08-27T00:00:00"/>
    <x v="20"/>
    <x v="5"/>
    <s v="N/A"/>
  </r>
  <r>
    <s v="AGOSTO"/>
    <s v="MDM-FIBRA-020127509"/>
    <x v="2"/>
    <x v="2"/>
    <s v="CC-35465169"/>
    <s v="ANA SILVIA CRUZ ACEVEDO"/>
    <s v="KR 7 67 09 AP 901"/>
    <s v="ZTE-NETWORKING"/>
    <s v=" se valida ruta de acceso a predio presenta obstrucción"/>
    <s v="CHICO"/>
    <s v="NO VIABLE"/>
    <n v="1502"/>
    <s v="Gestionada Orden No viable_x000a_MDM-FIBRA-017651607_x000a_Se llega a predio, se realiza validacion y sondeo desde toma en cuarto principal por ducteria galvanizada,  sonda da sólo ingresa 3 mts y tranca,  cables existentes no se mueven, hay obstruccion en la ducteria que comunica hacia caja de paso, se valida para realizar tendido por pasillo interno con fibra blanca pero administracion no da autorizacion de cableado por areas comunes, no tenemos mas rutas de acceso hacia el apto. No se generan daños ni pérdidas durante la validacion. Autoriza supervisor German Mendoza."/>
    <s v="N/A"/>
    <s v="N/A"/>
    <s v="N/A"/>
    <d v="2026-08-27T00:00:00"/>
    <x v="20"/>
    <x v="5"/>
    <s v="N/A"/>
  </r>
  <r>
    <s v="AGOSTO"/>
    <s v="MDM-FIBRA-020024427"/>
    <x v="0"/>
    <x v="0"/>
    <s v="CC-24317805"/>
    <s v="MARLENE GARCIA DIAZ"/>
    <s v="CL 179 76 60 CA 4"/>
    <s v="ZTE-CONECTAR"/>
    <s v="Ducteria obstruida no pasa sonda"/>
    <s v="TOBERIN"/>
    <s v="APLAZAMIENTO"/>
    <n v="1502"/>
    <s v="Aplazamiento_x000a_MDM-FIBRA-020024427_x000a_Cuadrilla en predio, se marca a contacto 3134236152 sra MARLENE GARCIA DIAZ indica que no puede atender, solicita reprogramar para el dia 02-09 en am."/>
    <s v="N/A"/>
    <s v="N/A"/>
    <s v="N/A"/>
    <d v="2026-08-21T00:00:00"/>
    <x v="21"/>
    <x v="1"/>
    <s v="CARRO"/>
  </r>
  <r>
    <s v="AGOSTO"/>
    <s v="MDM-FIBRA-020118211"/>
    <x v="0"/>
    <x v="0"/>
    <s v="CC-1014221713"/>
    <s v="FELIX IGNACIO LUQUE GARCIA"/>
    <s v="CL 147 72C 55"/>
    <s v="ZTE-NETWORKING"/>
    <s v="se valida ruta de acceso a predio presenta obstrucción"/>
    <s v="TOBERIN"/>
    <s v="SOLUCIONADA"/>
    <n v="1502"/>
    <s v="*Orden Solucionada*_x000a_MDM-FIBRA-020118211_x000a_Se llega a predio, se habla con el usuario el cual autoriza realizar validación. se evidencia ducteria obstruida, se aplica jabón líquido a las sondas y por último se realizan 2 pescas. se tiende fibra desde la nap, pasando por 2 postes de apoyo. Ingresa a predio por caja de paso mural en piso 3, se saca a caja de paso en pasillo en piso 2, ingresa a apartamento por caja de paso detrás de puerta de acceso, se lleva a sala y se deja en punto requerido por el cliente.  Se gastan 130 mts de Indoor/Outdoor - 6 Herrajes. No se generan daños ni pérdidas durante la instalacion. Tecnico cesar hernandez"/>
    <s v="N/A"/>
    <n v="130"/>
    <n v="6"/>
    <d v="2026-08-25T00:00:00"/>
    <x v="21"/>
    <x v="1"/>
    <s v="CARRO"/>
  </r>
  <r>
    <s v="AGOSTO"/>
    <s v="MDM-FIBRA-020086376"/>
    <x v="0"/>
    <x v="0"/>
    <s v="CC-1032366118"/>
    <s v="VIDAL PULIDO CASTIBLANCO"/>
    <s v="CL 102A 47 13"/>
    <s v="ZTE-NETWORKING"/>
    <s v="se valida ruta de acceso a predio se encuentra obstruccion se requiere cuadrilla de quiebre"/>
    <s v="CHICO"/>
    <s v="NO VIABLE"/>
    <n v="1502"/>
    <s v="MDM-FIBRA-020086376_x000a_No contactado_x000a_Cuadrilla en predio, se marca a contactos 3138014019- 3118494999 sin respuestas."/>
    <s v="N/A"/>
    <s v="N/A"/>
    <s v="N/A"/>
    <d v="2026-08-26T00:00:00"/>
    <x v="21"/>
    <x v="3"/>
    <s v="CARRO"/>
  </r>
  <r>
    <s v="AGOSTO"/>
    <s v="MDM-FIBRA-020116234"/>
    <x v="0"/>
    <x v="0"/>
    <s v="CC-51730026"/>
    <s v="MARIA TERESA MATEUS RUIZ"/>
    <s v="CL 54C SUR 87 21 IN 165"/>
    <s v="ZTE-FODEN"/>
    <s v="se encuentra obstruida desde la caja de paso  de la casa hasta la caja de paso q se encuentra en las áreas comunes"/>
    <s v="HOLANDA"/>
    <s v="SOLUCIONADA"/>
    <n v="1502"/>
    <s v="solucionada por contratista//no aplica visita de cuadrilla"/>
    <s v="N/A"/>
    <s v="N/A"/>
    <s v="N/A"/>
    <d v="2026-08-26T00:00:00"/>
    <x v="21"/>
    <x v="4"/>
    <s v="CARRO"/>
  </r>
  <r>
    <s v="AGOSTO"/>
    <s v="MDM-FIBRA-020107799"/>
    <x v="0"/>
    <x v="0"/>
    <s v="CC-1018460430"/>
    <s v="EDUARDO ALFONSO PEÑA WALTEROS"/>
    <s v="CL 73 22 33 PI 2"/>
    <s v="ZTE-NETWORKING"/>
    <s v="se valida ruta de acceso a predio se encuentra obstruccion se requiere cuadrilla de quiebre"/>
    <s v="CHICO"/>
    <s v="CANCELADA"/>
    <n v="1502"/>
    <s v="Orden Cancelada_x000a_MDM-FIBRA-020107799_x000a_Cuadrilla en predio, se marca a contacto 3142361123 sr EDUARDO ALFONSO PEÑA WALTEROS indica que decidio cancelar el servicio no da mas informacion"/>
    <s v="N/A"/>
    <s v="N/A"/>
    <s v="N/A"/>
    <d v="2026-08-25T00:00:00"/>
    <x v="21"/>
    <x v="3"/>
    <s v="CARRO"/>
  </r>
  <r>
    <s v="AGOSTO"/>
    <s v="MDM-FIBRA-020097717"/>
    <x v="0"/>
    <x v="0"/>
    <s v="CC-52476844"/>
    <s v="DIANA MARCELA DE LA CRUZ LINARES"/>
    <s v="CL 159 17 38 IN 9 AP 401"/>
    <s v="ZTE-CONECTAR"/>
    <s v=" no hay infraestructura para hacer tendido al predio no hay canaleta ni tubería "/>
    <s v="TOBERIN"/>
    <s v="NO VIABLE"/>
    <n v="1502"/>
    <s v="*Orden No viable*_x000a_MDM-FIBRA-020097717_x000a_Se habla con la clienta Se le indica que los ductos son compartidos desde el apartamento 401, 301, 201, 101, van en una sola vertical. No permiten el ingreso a ninguno d elos predios para realizar validacion. No se generan daños ni pérdidas durante la validacion. autoriza supervisor yeison martinez."/>
    <s v="N/A"/>
    <s v="N/A"/>
    <s v="N/A"/>
    <d v="2026-08-27T00:00:00"/>
    <x v="21"/>
    <x v="3"/>
    <s v="CARRO"/>
  </r>
  <r>
    <s v="AGOSTO"/>
    <s v="MDM-FIBRA-020120367"/>
    <x v="0"/>
    <x v="0"/>
    <s v="CC-1073154063"/>
    <s v="JAVIER ORLANDO BAQUERO ORTIZ"/>
    <s v="KR 79F 49 44 SUR IN 5 AP 404"/>
    <s v="ZTE-FODEN"/>
    <s v="se llega al predio se evidencia ducteri obstruida en caja de paso se envia evidencia "/>
    <s v="HOLANDA"/>
    <s v="SOLUCIONADA"/>
    <n v="1502"/>
    <s v="Orden Solucionada_x000a_MDM-FIBRA-020120367_x000a_Se ingresa al cliente, en validación no se encuentran tomas telefónicas, se válida ruta saliendo por fachada con dificultad para pasar sonda en cajas de paso en zona verde se logra pasar. Se realiza tendido desde el punto requerido por el cliente saliendo por canaleta en fachada y posteriormente pasando por tres cajas de distribución en zona verde llegando a la caja CPS donde se encuentra la nap asignada. Se gastan 55 MTS de F.O de baja fricción. No se generan daños ni pérdidas durante la instalacion. Tecnico fredy corredor"/>
    <n v="55"/>
    <s v="N/A"/>
    <s v="N/A"/>
    <d v="2026-08-26T00:00:00"/>
    <x v="21"/>
    <x v="4"/>
    <s v="CARRO"/>
  </r>
  <r>
    <s v="AGOSTO"/>
    <s v="MDM-FIBRA-020090177"/>
    <x v="1"/>
    <x v="1"/>
    <s v="CC-52333808"/>
    <s v="ANDREA CRISTINA ANGARITA RIOS"/>
    <s v="KR 7A 94 29 AP 601"/>
    <s v="ZTE-NETWORKING"/>
    <s v="se valida ruta de acceso a predio presenta obstrucción"/>
    <s v="CHICO"/>
    <s v="NO VIABLE"/>
    <n v="1502"/>
    <s v="Orden No viable_x000a_MDM-FIBRA-020090177_x000a_Realizamos validación de ruta para tendido, evidenciamos que la única toma donde requieren el servicio está en un muro y es de TV,  al enviar la sonda está ingresa aproximadamente 7 a 10 MTRS y no pasa, de afuera hacia adentro pasa pero no sale a la toma, realizaron adecuacion en la toma principal no pasa,  cliente debe realizar una obra civil para solucionar el arreglo del tubo y asi volver a solicitar el servicio .administración no permite cables por las zonas comunes. Los técnicos sacaron los cables de TV del tubo y no pudieron solucionar. No se generan daños ni pérdidas durante la validación. autoriza supervisor yeison martinez."/>
    <s v="N/A"/>
    <s v="N/A"/>
    <s v="N/A"/>
    <d v="2026-08-27T00:00:00"/>
    <x v="21"/>
    <x v="2"/>
    <s v="MOTO"/>
  </r>
  <r>
    <s v="AGOSTO"/>
    <s v="MDM-FIBRA-020039696"/>
    <x v="1"/>
    <x v="1"/>
    <s v="CC-52411766"/>
    <s v="MONICA JIMENEZ GONZALEZ"/>
    <s v="DG 76 3 59 AP 401"/>
    <s v="ZTE-NETWORKING"/>
    <s v="Se llega a predio pero se encuentra la ductria obstruido ya que es un tubo corrugado y no pasa la sonda"/>
    <s v="CHICO"/>
    <s v="SOLUCIONADA"/>
    <n v="1502"/>
    <s v="*Orden Solucionada*_x000a_MDM-FIBRA-020039696_x000a_Se instalan 88 MTRS de drop de baja fricción desde la furukawa signada en sótano, por ducto principal pasando por dos cajas de paso en techo, salimos por perforacion al lado de la puerta del garaje, subimos hasta la terraza en piso 7 con autorizacion de administracion, perfilamos el drop por el borde de los cables existentes en la sotea, bajamos por la fachada hasta el piso 4,  ingresamos por perforacion existente hasta el estudio donde usuario pide el servicio. No se generan daños ni pérdidas durante la instalacion. Tecnico edwin diaz"/>
    <n v="88"/>
    <s v="N/A"/>
    <s v="N/A"/>
    <d v="2026-08-27T00:00:00"/>
    <x v="21"/>
    <x v="2"/>
    <s v="MOTO"/>
  </r>
  <r>
    <s v="AGOSTO"/>
    <s v="MDM-FIBRA-020106250"/>
    <x v="0"/>
    <x v="0"/>
    <s v="CC-52167510"/>
    <s v="SANDRA PATRICIA PACANCHIQUE PACANCHIQUE"/>
    <s v="KR 77 20 20 TO 2 AP 602"/>
    <s v="ZTE-COLVATEL"/>
    <s v="evidenciamos qué la sonda no pasa del predio al gabinete de distribución"/>
    <s v="FONTIBON"/>
    <s v="SOLUCIONADA"/>
    <n v="1502"/>
    <s v="Orden Solucionada_x000a_MDM-FIBRA-020106250_x000a_Se realiza validación y sondeo desde caja telefonica hacia caja de distribución, se envía sonda hasta llegar a caja de paso en pasillo, desde la caja de paso en  pasillo se baja hacia el piso 3 donde se encuentra la Furukawa. En predio se cruza por caja de distribución hasta la sala, punto indicado por el cliente. Se gastan 35Mts Baja Friccion. No se generan daños ni pérdidas durante la instalacion. Tecnico Luis hoyos"/>
    <n v="35"/>
    <s v="N/A"/>
    <s v="N/A"/>
    <d v="2026-08-27T00:00:00"/>
    <x v="21"/>
    <x v="0"/>
    <s v="CARRO"/>
  </r>
  <r>
    <s v="AGOSTO"/>
    <s v="Q-MDM-PQR-57176554"/>
    <x v="0"/>
    <x v="0"/>
    <s v="CC-79709663"/>
    <s v="IVAN DARIO VARGAS MENDOZA"/>
    <s v="KR 62 64 75 BQ G IN 15"/>
    <s v="ZTE-NETWORKING"/>
    <s v="referida ing marcos sabana"/>
    <s v="CHICO"/>
    <s v="SOLUCIONADA"/>
    <n v="1502"/>
    <s v="Orden Solucionada_x000a_MDM-PQR-57176554_x000a_Se realiza validación y sondeo desde caja telefonica pasando a caja de paso por ducto, hasta llegar a la siguiente caja de paso, s epasa por 3 cajas de paso hasta llegar a la nap asignada.  En predio se deja donde es requerido. Se gastan 25Mts Baja Friccion. No se generan daños ni pérdidas durante la instalacion. Tecnico Luis hoyos"/>
    <n v="25"/>
    <s v="N/A"/>
    <s v="N/A"/>
    <d v="2026-08-27T00:00:00"/>
    <x v="21"/>
    <x v="0"/>
    <s v="CARRO"/>
  </r>
  <r>
    <s v="AGOSTO"/>
    <s v="MDM-FIBRA-020126465"/>
    <x v="2"/>
    <x v="2"/>
    <s v="CC-17185300"/>
    <s v="CELESTINO BOLIVAR LOPEZ"/>
    <s v="KR 52A 134A 22 AP 222"/>
    <s v="ZTE-CONECTAR"/>
    <s v=" Instalación inviable no hay comunicación entre cajas administración dio la orden de cortar las instalaciones que iban por fuera según técnico"/>
    <s v="TOBERIN"/>
    <s v="NO VIABLE"/>
    <n v="1502"/>
    <s v="No viable/ Instalación inviable no hay comunicación entre cajas administración dio la orden de cortar las instalaciones que iban por fuera según técnico"/>
    <s v="N/A"/>
    <s v="N/A"/>
    <s v="N/A"/>
    <d v="2026-08-28T00:00:00"/>
    <x v="21"/>
    <x v="5"/>
    <s v="N/A"/>
  </r>
  <r>
    <s v="AGOSTO"/>
    <s v="MDM-FIBRA-020038824"/>
    <x v="2"/>
    <x v="2"/>
    <s v="NIT-901601851"/>
    <s v="ENERGIA Y GAS DE COLOMBIA SAS E.S.P."/>
    <s v="KR 16 93 86 OF 406"/>
    <s v="ZTE-BFTEL"/>
    <s v="en la viabilidad que se evidenció y según ubicación enviada por torre de Diseño la NAP no se encuentra físicamente en el sitio,por vecinos se observa que todos los servicios activos se encuentran alarmados,al parecer quitaron la NAP,se solicitó cambio de nap a las más cercanas N1SI18_B7,N1SI18_B3 pero informan que se encuentran al 100% de su ocupación"/>
    <s v="CHICO"/>
    <s v="NO VIABLE"/>
    <n v="1502"/>
    <s v="No viable//en la viabilidad que se evidenció y según ubicación enviada por torre de Diseño la NAP no se encuentra físicamente en el sitio,por vecinos se observa que todos los servicios activos se encuentran alarmados,al parecer quitaron la NAP,se solicitó cambio de nap a las más cercanas N1SI18_B7,N1SI18_B3 pero informan que se encuentran al 100% de su ocupación"/>
    <s v="N/A"/>
    <s v="N/A"/>
    <s v="N/A"/>
    <d v="2026-08-28T00:00:00"/>
    <x v="21"/>
    <x v="5"/>
    <s v="N/A"/>
  </r>
  <r>
    <s v="AGOSTO"/>
    <s v="MDM-FIBRA-020133302"/>
    <x v="0"/>
    <x v="0"/>
    <s v="CC-1012458274"/>
    <s v="TANIA MILENA BERNAL ESPINOSA"/>
    <s v="KR 78H 60A 32 SUR BQ 4 AP 202"/>
    <s v="ZTE-FODEN"/>
    <s v="obstruida para poder pasar la fibra  "/>
    <s v="HOLANDA"/>
    <s v="APLAZAMIENTO"/>
    <n v="1502"/>
    <s v="Aplazamiento_x000a_MDM-FIBRA-020133302_x000a_Cuadrilla en predio, cliente indica que no puede atender, solicita reprogramar para el dia 29-08 en am."/>
    <s v="N/A"/>
    <s v="N/A"/>
    <s v="N/A"/>
    <d v="2026-08-28T00:00:00"/>
    <x v="21"/>
    <x v="4"/>
    <s v="CARRO"/>
  </r>
  <r>
    <s v="AGOSTO"/>
    <s v="MDM-FIBRA-020072831"/>
    <x v="1"/>
    <x v="1"/>
    <s v="CC-41667474"/>
    <s v="NOHORA CONSUELO MORENO RINCON"/>
    <s v="KR 13 116 05 AP 402"/>
    <s v="ZTE-NETWORKING"/>
    <s v=" se valida ruta de acceso a predio presenta obstrucción"/>
    <s v="CHICO"/>
    <s v="CANCELADA"/>
    <n v="1502"/>
    <s v="Orden Cancelada_x000a_MDM-FIBRA-020072831_x000a_Cuadrilla en predio  se marca a contacto 3102218612 sra NOHORA CONSUELO MORENO RINCON indica que decidió cancelar el servicio"/>
    <s v="N/A"/>
    <s v="N/A"/>
    <s v="N/A"/>
    <d v="2026-08-15T00:00:00"/>
    <x v="22"/>
    <x v="2"/>
    <s v="MOTO"/>
  </r>
  <r>
    <s v="AGOSTO"/>
    <s v="MDM-FIBRA-020104067"/>
    <x v="0"/>
    <x v="0"/>
    <s v="CC-1015442042"/>
    <s v="ALEJANDRO DAVILA CASTAÑEDA"/>
    <s v="KR 72 63D 14 LC 101"/>
    <s v="ZTE-BFTEL"/>
    <s v="bstrucción caja de pasillo a toma principal de teléfono, único ingreso, sonda tranca, cables no se mueven /  TECNICO CASAS /  SUP YEISON"/>
    <s v="CUNI"/>
    <s v="NO VIABLE"/>
    <n v="1501"/>
    <s v="MDM-FIBRA-020104067_x000a_Cuadrilla en predio, se marca a contacto 3023770132 sr ALEJANDRO DAVILA CASTAÑEDA indica que debe validar unos permisos con administracion, por el momento no requiere la visita"/>
    <s v="N/A"/>
    <s v="N/A"/>
    <s v="N/A"/>
    <d v="2026-08-22T00:00:00"/>
    <x v="22"/>
    <x v="1"/>
    <s v="CARRO"/>
  </r>
  <r>
    <s v="AGOSTO"/>
    <s v="MDM-FIBRA-020112783"/>
    <x v="0"/>
    <x v="0"/>
    <s v="CC-1007378708"/>
    <s v="VALENTINA MORENO RUIZ"/>
    <s v="CL 55A SUR 77H 70 BQ 2 AP 301"/>
    <s v="ZTE-FODEN"/>
    <s v="Ducteria obstruida para realizar instalación desde cámara a poste enel por donde van las demás acometidas"/>
    <s v="HOLANDA"/>
    <s v="SOLUCIONADA"/>
    <n v="1502"/>
    <s v="Orden Solucionada_x000a_MDM-FIBRA-020112783_x000a_Se ingresa al cliente, se validan tomas telefónicas y caja de distribución en pasillo, se realiza sondeo de ductos en la entrada a la caja de distribución en anden, se realiza tendido de fibra óptica desde el punto requerido por el cliente saliendo a la caja de distribución en pasillo y bajando por dos cajas más y saliendo a una caja de distribución en anden y posteriormente llegando a la caja CPS donde se encuentra la nap asignada. Se gastan 65 MTS de fibra óptica de baja fricción. No se generan daños ni pérdidas durante la instalacion. Tecnico fredy corredor"/>
    <n v="65"/>
    <s v="N/A"/>
    <s v="N/A"/>
    <d v="2026-08-24T00:00:00"/>
    <x v="22"/>
    <x v="4"/>
    <s v="CARRO"/>
  </r>
  <r>
    <s v="AGOSTO"/>
    <s v="MDM-FIBRA-020123540"/>
    <x v="0"/>
    <x v="0"/>
    <s v="CC-52341471"/>
    <s v="LINA MARYOURI CASTILLO MORENO"/>
    <s v="KR 126 130 65 CA 79"/>
    <s v="ZTE-CONECTAR"/>
    <s v="Ductos obstruidos no se pueden realizar instalación se requiere cuadrilla de quiebre"/>
    <s v="SUBA"/>
    <s v="SOLUCIONADA"/>
    <n v="1502"/>
    <s v="Orden Solucionada_x000a_Hilado_x000a_MDM-FIBRA-020123540_x000a_Se llega a predio, se habla con el usuario el cual autoriza realizar validación. Se evidencia ducteria externa obstruida. Se realizan varios intentos para destapar obstrucción. Se tiende hilado desde la NAP PRECONECTORIZADA pasando por 3 cajas de paso peatonal (Canalizado), se realiza pesca y se ingresa a predio por toma principal de la sala y se deja en punto requerido. No se generan daños ni pérdidas durante la instalacion. Tecnico cesar hernandez"/>
    <s v="N/A"/>
    <s v="N/A"/>
    <s v="N/A"/>
    <d v="2026-08-26T00:00:00"/>
    <x v="22"/>
    <x v="1"/>
    <s v="CARRO"/>
  </r>
  <r>
    <s v="AGOSTO"/>
    <s v="MDM-FIBRA-020134247"/>
    <x v="0"/>
    <x v="0"/>
    <s v="CC-79697478"/>
    <s v="EDUAR GIOVANNI CASTRO CARDENAS"/>
    <s v="KR 83A 75 50 CA 115"/>
    <s v="ZTE-COLVATEL"/>
    <s v="se valida obstrucción entre las cdp única ruta de acceso a predio no es posible completar toca cablear pto a nap"/>
    <s v="BACHUE"/>
    <s v="SOLUCIONADA"/>
    <n v="1502"/>
    <s v="Orden Solucionada_x000a_MDM-FIBRA-020134247_x000a_Se realizavalidacion y sondeo desde caja telefonica,  pasa a la siguiente caja telefonica, desde caja telefonica se envía sonda saliendo a caja fachada hasta llegar a caja de paso en piso, y de ahí se lleva hasta la siguiente caja de paso, donde se encuentra la nap asignada.  En predio se deja donde es requerido. Se gastan 60 Mts Baja Fricción. No se generan daños ni pérdidas durante la instalacion. Tecnico luis hoyos"/>
    <n v="60"/>
    <s v="N/A"/>
    <s v="N/A"/>
    <d v="2026-08-28T00:00:00"/>
    <x v="22"/>
    <x v="0"/>
    <s v="CARRO"/>
  </r>
  <r>
    <s v="AGOSTO"/>
    <s v="MDM-FIBRA-019992020"/>
    <x v="0"/>
    <x v="0"/>
    <s v="NIT-901046539"/>
    <s v="CONJUNTO RESIDENCIAL MIRADOR DEL ESTE 1- PROPIEDAD HORIZONTAL"/>
    <s v="CL 63 SUR 14 89 ESTE AD 1"/>
    <s v="ZTE-BFTEL"/>
    <s v="servicio para la administración, tendido canalizado, se evidencia obstrucción de camara salida de administración a nap , sonda tranca, ductos saturado"/>
    <s v="SANTA INES"/>
    <s v="APLAZAMIENTO"/>
    <n v="1502"/>
    <s v="Aplazamiento_x000a_MDM-FIBRA-019992020_x000a_Cuadrilla en predio se marca a contacto 3125514888 cliente solicita reprogramar para el dia 31-08 en am."/>
    <s v="N/A"/>
    <s v="N/A"/>
    <s v="N/A"/>
    <d v="2026-08-28T00:00:00"/>
    <x v="22"/>
    <x v="3"/>
    <s v="CARRO"/>
  </r>
  <r>
    <s v="AGOSTO"/>
    <s v="MDM-FIBRA-020133103"/>
    <x v="0"/>
    <x v="0"/>
    <s v="CC-79858064"/>
    <s v="ELSSON ERNEY SANDOVAL PIRACON"/>
    <s v="KR 116 77B 42 CA 31"/>
    <s v="ZTE-COLVATEL"/>
    <s v="Escalar 1502 se valida única ruta de acceso a predio presentado obstrucción cables existentes atascados no se mueven"/>
    <s v="BACHUE"/>
    <s v="APLAZAMIENTO"/>
    <n v="1502"/>
    <s v="Aplazamiento_x000a_MDM-FIBRA-020133103_x000a_Por horario de administracion no permiten labores, cliente solicita reprogramar para el dia 31-08 en am"/>
    <s v="N/A"/>
    <s v="N/A"/>
    <s v="N/A"/>
    <d v="2026-08-28T00:00:00"/>
    <x v="22"/>
    <x v="0"/>
    <s v="CARRO"/>
  </r>
  <r>
    <s v="AGOSTO"/>
    <s v="MDM-FIBRA-020111896"/>
    <x v="1"/>
    <x v="1"/>
    <s v="CC-1020822661"/>
    <s v="NICOLAS ESPINOSA RINCON"/>
    <s v="CL 147 15 36 IN 5 AP 201"/>
    <s v="ZTE-CONECTAR"/>
    <s v=" Se evidencia que la sonda no pasa por la parte del citofono "/>
    <s v="TOBERIN"/>
    <s v="SOLUCIONADA"/>
    <n v="1502"/>
    <s v="Orden Solucionada_x000a_MDM-FIBRA-020111896_x000a_Se instalan 21 MTRS de drop de baja fricción desde la caja de paso por ducto de citofono comparte con telefonía este se encontraba tapado, logramos pasar a la toma de la cocina y de esta al segundo piso donde solicitan el servicio. No se generan daños ni pérdidas durante la instalacion. Tecnico edwin diaz"/>
    <n v="21"/>
    <s v="N/A"/>
    <s v="N/A"/>
    <d v="2026-08-28T00:00:00"/>
    <x v="22"/>
    <x v="2"/>
    <s v="MOTO"/>
  </r>
  <r>
    <s v="AGOSTO"/>
    <s v="MDM-FIBRA-020133302"/>
    <x v="0"/>
    <x v="0"/>
    <s v="CC-1012458274"/>
    <s v="TANIA MILENA BERNAL ESPINOSA"/>
    <s v="KR 78H 60A 32 SUR BQ 4 AP 202"/>
    <s v="ZTE-FODEN"/>
    <s v="obstruida para poder pasar la fibra  "/>
    <s v="HOLANDA"/>
    <s v="SOLUCIONADA"/>
    <n v="1502"/>
    <s v="Orden Solucionada_x000a_Hilado_x000a_MDM-FIBRA-020133302_x000a_Se ingresa al cliente, se validan tomas telefónicas y cajas de distribución en pasillo y andén_x000a_se realiza hilado desde el punto requerido por el cliente saliendo a la caja de distribución en pasillo y posteriormente bajando al primer piso, saliendo a la caja de distribución en anden pasando por cuatro cajas más y subiendo al strip telefónico y bajando nuevamente a la caja CPD donde se encuentra la nap asignada. Técnico instalador debe traer F.O preconectarizada de 100 MTS. No se generan daños ni pérdidas durante la instalacion. Tecnico fredy corredor"/>
    <s v="N/A"/>
    <s v="N/A"/>
    <s v="N/A"/>
    <d v="2026-08-28T00:00:00"/>
    <x v="22"/>
    <x v="4"/>
    <s v="CARRO"/>
  </r>
  <r>
    <s v="AGOSTO"/>
    <s v="Q-MDM-PQR-57176554"/>
    <x v="0"/>
    <x v="0"/>
    <s v="CC-79709663"/>
    <s v="IVAN DARIO VARGAS MENDOZA"/>
    <s v="KR 62 64 75 BQ G IN 15"/>
    <s v="ZTE-NETWORKING"/>
    <s v="referida ing marcos sabana//cambio de fibra"/>
    <s v="CHICO"/>
    <s v="SOLUCIONADA"/>
    <n v="1502"/>
    <s v="Orden Solucionada_x000a_MDM-PQR-57176554_x000a_Se realiza cambio de fibra desde caja telefonica pasando a caja de paso por ducto, hasta llegar a la siguiente caja de paso, s epasa por 3 cajas de paso hasta llegar a la nap asignada.  En predio se deja donde es requerido. Se gastan 25Mts fibra f8. No se generan daños ni pérdidas durante la instalacion. Tecnico Luis hoyos"/>
    <s v="25 F8"/>
    <s v="N/A"/>
    <s v="N/A"/>
    <d v="2026-08-27T00:00:00"/>
    <x v="22"/>
    <x v="0"/>
    <s v="CARRO"/>
  </r>
  <r>
    <s v="AGOSTO"/>
    <s v="MDM-FIBRA-020140089"/>
    <x v="0"/>
    <x v="0"/>
    <s v="CC-1106769976"/>
    <s v="ALBERT STIVE OSPINA AVENDAÑO"/>
    <s v="KR 5Y 49D 23 SUR AP 201"/>
    <s v="ZTE-BFTEL"/>
    <s v="se realizo sondeo de la canalizacion encontrandose obstruccion"/>
    <s v="SANTA INES"/>
    <s v="SOLUCIONADA"/>
    <n v="1502"/>
    <s v="*Orden Solucionada*_x000a_MDM-FIBRA-020140089_x000a_Se llega a predio, se habla con el usuario, se realiza validación y se busca la ruta, se tiende fibra desde la nap, se pasa por vía aérea, se deja fibra en punta en nap y de alli hasta donde se va a dejar el servicio. Se gastan 40 de fibra indoor / outdoor-Herraje 2. No se generan daños ni pérdidas durante la instalacion. Tecnico jesus silva_x000a_"/>
    <s v="N/A"/>
    <n v="40"/>
    <n v="2"/>
    <d v="2026-08-29T00:00:00"/>
    <x v="22"/>
    <x v="3"/>
    <s v="CARRO"/>
  </r>
  <r>
    <s v="AGOSTO"/>
    <s v="MDM-FIBRA-020136969"/>
    <x v="0"/>
    <x v="0"/>
    <s v="CC-65820260"/>
    <s v="MARIA ISABEL NUÑEZ OSUNA"/>
    <s v="CL 49A BIS SUR 10D 20 TO 3 AP 604"/>
    <s v="ZTE-BFTEL"/>
    <s v="obstruccion en predio, no pasa sonda,"/>
    <s v="SANTA INES"/>
    <s v="APLAZAMIENTO"/>
    <n v="1502"/>
    <s v="*Aplazamiento*_x000a_MDM-FIBRA-020136969_x000a_Cuadrilla en predio, por horarios de administracion no permiten labores cliente solicita reprogramar para el dia lunes 31-08"/>
    <s v="N/A"/>
    <s v="N/A"/>
    <s v="N/A"/>
    <d v="2026-08-29T00:00:00"/>
    <x v="22"/>
    <x v="3"/>
    <s v="CARRO"/>
  </r>
  <r>
    <s v="AGOSTO"/>
    <s v="MDM-FIBRA-020138896"/>
    <x v="0"/>
    <x v="0"/>
    <s v="CC-1033813335"/>
    <s v="PAULA ANDREA TUNJUELO RODRIGUEZ"/>
    <s v="CL 48A SUR 12B 36"/>
    <s v="ZTE-BFTEL"/>
    <s v="se valida la única ruta de acceso presentado obstrucción en el predio"/>
    <s v="SANTA INES"/>
    <s v="SOLUCIONADA"/>
    <n v="1502"/>
    <s v="*Orden Solucionada*_x000a_MDM-FIBRA-020138896_x000a_Se llega a predio, se habla con el usuario, se realiza validación y se busca la ruta desde la nap, se pasa por vía aérea,  Se deja fibra en punta en nap y de alli hasta predio donde se va a dejar el servicio. Se gastan 70 de fibra indoor / outdoor-Herraje 2. No se generan daños ni pérdidas durante la instalacion. Tecnico jesus silva_x000a_"/>
    <s v="N/A"/>
    <n v="70"/>
    <n v="2"/>
    <d v="2026-08-29T00:00:00"/>
    <x v="22"/>
    <x v="3"/>
    <s v="CARRO"/>
  </r>
  <r>
    <s v="AGOSTO"/>
    <s v="MDM-FIBRA-020112974"/>
    <x v="0"/>
    <x v="0"/>
    <s v="CC-7121658"/>
    <s v="YEISSON YAZETH BARAJAS GONZALEZ"/>
    <s v="CL 154A 94 04 IN 3 AP 203"/>
    <s v="ZTE-CONECTAR"/>
    <s v="Ducteria obstruida "/>
    <s v="SUBA"/>
    <s v="SOLUCIONADA"/>
    <n v="1502"/>
    <s v="solucionada por contratista//no aplica visita de cuadrilla"/>
    <s v="N/A"/>
    <s v="N/A"/>
    <s v="N/A"/>
    <d v="2026-08-28T00:00:00"/>
    <x v="23"/>
    <x v="1"/>
    <s v="CARRO"/>
  </r>
  <r>
    <s v="AGOSTO"/>
    <s v="MDM-FIBRA-019992020"/>
    <x v="0"/>
    <x v="0"/>
    <s v="NIT-901046539"/>
    <s v="CONJUNTO RESIDENCIAL MIRADOR DEL ESTE 1- PROPIEDAD HORIZONTAL"/>
    <s v="CL 63 SUR 14 89 ESTE AD 1"/>
    <s v="ZTE-BFTEL"/>
    <s v="servicio para la administración, tendido canalizado, se evidencia obstrucción de camara salida de administración a nap , sonda tranca, ductos saturado"/>
    <s v="SANTA INES"/>
    <s v="NO VIABLE"/>
    <n v="1502"/>
    <s v="MDM-FIBRA-019992020_x000a_No contactado_x000a_Cuadrilla en predio, administradora no se encuentra, se marca a contacto 3125514888 sin respuesta, seguridad indica que no tiene conocimiento de visita."/>
    <s v="N/A"/>
    <s v="N/A"/>
    <s v="N/A"/>
    <d v="2026-08-28T00:00:00"/>
    <x v="23"/>
    <x v="4"/>
    <s v="CARRO"/>
  </r>
  <r>
    <s v="AGOSTO"/>
    <s v="MDM-FIBRA-020137574"/>
    <x v="0"/>
    <x v="0"/>
    <s v="CC-1015999518"/>
    <s v="DIANA KARINA CELY TEATINO"/>
    <s v="KR 98A 15A 70 IN 18 AP 103"/>
    <s v="ZTE-COLVATEL"/>
    <s v="En predio la sonda del strip al apartamento avanza unos 15 mtrs pero tranca se envía desde toma de telefono a strip y no avanza sino 20 cm"/>
    <s v="FONTIBON"/>
    <s v="APLAZAMIENTO"/>
    <n v="1502"/>
    <s v="*Aplazamiento*_x000a_MDM-FIBRA-020137574_x000a_Cuadrilla en predio, cliente indica que va de salida a llevar al hijo al colegio, solicita que porfavo se le visita de nuevo en la tarde. "/>
    <s v="N/A"/>
    <s v="N/A"/>
    <s v="N/A"/>
    <d v="2026-08-29T00:00:00"/>
    <x v="23"/>
    <x v="3"/>
    <s v="CARRO"/>
  </r>
  <r>
    <s v="AGOSTO"/>
    <s v="MDM-FIBRA-020130259"/>
    <x v="0"/>
    <x v="0"/>
    <s v="CC-52974204"/>
    <s v="SONIA CAROLINA DIAZ SALCEDO"/>
    <s v="CL 6D 79A 56 IN 6 AP 548"/>
    <s v="ZTE-BFTEL"/>
    <s v="la ruta para llegar al apartamento es de una caja de piso hasta el apartamento se ingresa la sonda y vemos que no pasa se encuentra obstruida,no hay más rutas para llevar la fibra"/>
    <s v="MUZU"/>
    <s v="SOLUCIONADA"/>
    <n v="1502"/>
    <s v="Orden Solucionada_x000a_MDM-FIBRA-020130259_x000a_Cuadrilla en preedio, se realzia validacion y sondeo encontrando obstruccion, se realiza tendido de fibra pasando obstruccion llevandola desde nap a predio, dejando en sitio indicado por cliente. En predio queda tecnico instalador activando servicios.  No se generan daños ni pérdidas durante la instalacion. Tecnico"/>
    <s v="N/A"/>
    <s v="N/A"/>
    <s v="N/A"/>
    <d v="2026-08-29T00:00:00"/>
    <x v="23"/>
    <x v="3"/>
    <s v="CARRO"/>
  </r>
  <r>
    <s v="AGOSTO"/>
    <s v="MDM-FIBRA-020134242"/>
    <x v="0"/>
    <x v="0"/>
    <s v="CC-1032384361"/>
    <s v="GUILLERMO ALFONSO RODRIGUEZ GOMEZ"/>
    <s v="CL 6C 73 45 IN 1 AP 503"/>
    <s v="ZTE-BFTEL"/>
    <s v="la ruta para llegar al apartamento es de una caja de piso hasta el apartamento se ingresa la sonda y vemos que no pasa se encuentra obstruida,no hay más rutas para llevar la fibra "/>
    <s v="MUZU"/>
    <s v="SOLUCIONADA"/>
    <n v="1502"/>
    <s v="Orden Solucionada_x000a_MDM-FIBRA-020134242_x000a_Se ingresa al cliente se validan tomas telefónicas, se evidencia que los ductos pasan de apartamento a apartamento lo que impide bajar la F.O. Se valida ruta por fachada y en zona verde se encuentra un ducto con obstrucción y roto se logra pasar. Se realiza tendido de fibra desde el punto requerido por el cliente saliendo a fachada, bajando por canaleta y llegando a la caja de distribución donde se encuentra la CP asignada. Se deja fibra óptica en apartamento figurada por petición del cliente . se gastan 45 MTS de F.O de baja fricción. No se generan daños ni pérdidas durante la instalacion. Tecnico fredy corredor"/>
    <n v="45"/>
    <s v="N/A"/>
    <s v="N/A"/>
    <d v="2026-08-29T00:00:00"/>
    <x v="23"/>
    <x v="4"/>
    <s v="CARRO"/>
  </r>
  <r>
    <s v="AGOSTO"/>
    <s v="MDM-FIBRA-020137480"/>
    <x v="0"/>
    <x v="0"/>
    <s v="CC-1014284280"/>
    <s v="ANGELICA MARIA VARGAS CONTRERAS"/>
    <s v="KR 77 BIS 69A 86 AP 202"/>
    <s v="ZTE-COLVATEL"/>
    <s v="se valida la única ruta de acceso presentado obstrucción después de pasar por cuatro cdps cables existentes no se pueden retirar ya que son servicios activos"/>
    <s v="BACHUE"/>
    <s v="SOLUCIONADA"/>
    <n v="1502"/>
    <s v="*Orden Solucionada*_x000a_MDM-FIBRA-020137480_x000a_Se llega a predio, se habla con el usuario el cual autoriza realizar validación. Se evidencia ducteria obstruida, se aplica jabón líquido a las sondas y se realizan 2 pescas. Se tiende fibra desde la NAP, se ancla a fachada. Se ingresa a predio por caja de paso de fachada,  pasa por 2 cajas de paso en techo en piso 1, ingresa a apartamento por caja de paso en techo, se lleva a toma principal de la sala y se deja en punto requerido. Se gastan 60 mts de Indoor-2 Herrajes. No se generan daños ni pérdidas durante la instalacion. Tecnico cesar hernandez"/>
    <s v="N/A"/>
    <n v="60"/>
    <n v="2"/>
    <d v="2026-08-29T00:00:00"/>
    <x v="23"/>
    <x v="1"/>
    <s v="CARRO"/>
  </r>
  <r>
    <s v="AGOSTO"/>
    <s v="MDM-FIBRA-020137537"/>
    <x v="1"/>
    <x v="1"/>
    <s v="CC-1032405213"/>
    <s v="FELIPE MEDINA GUTIERREZ"/>
    <s v="KR 11 116 50 AP 404"/>
    <s v="ZTE-NETWORKING"/>
    <s v="duicteria obstruida no se mueve para nungun lado ingresa unos 10 metros pero no da ni de adentro asia a fuera ni al reves"/>
    <s v="CHICO"/>
    <s v="NO VIABLE"/>
    <n v="1502"/>
    <s v="MDM-FIBRA-020137537_x000a_No contactado_x000a_Cuadrilla en predio, se marca portero digital sin respuesta, se marca a contactos 3223114276- 3232151004 sin respuesta."/>
    <s v="N/A"/>
    <s v="N/A"/>
    <s v="N/A"/>
    <d v="2026-08-29T00:00:00"/>
    <x v="23"/>
    <x v="2"/>
    <s v="MOTO"/>
  </r>
  <r>
    <s v="AGOSTO"/>
    <s v="MDM-FIBRA-020139372"/>
    <x v="1"/>
    <x v="1"/>
    <s v="CC-80925980"/>
    <s v="GIOVANNY SIERRA VARGAS"/>
    <s v="KR 13 44 33 OF 1003"/>
    <s v="ZTE-BFTEL"/>
    <s v="en la viabilidad que se evidenció,el ducto que común de la caja de paso a la toma principal el ducto se encuentra obstruido sonda no pasa,cables existentes no se mueven"/>
    <s v="CUNI"/>
    <s v="APLAZAMIENTO"/>
    <n v="1501"/>
    <s v="Aplazamiento_x000a_MDM-FIBRA-020139372_x000a_Cuadrilla en predio, se marca a contacto 3001731343 sr GIOVANNY SIERRA VARGAS, indica que no puede atender,  solicita reprogramar para el dia 01-09 en pm"/>
    <s v="N/A"/>
    <s v="N/A"/>
    <s v="N/A"/>
    <d v="2026-08-29T00:00:00"/>
    <x v="23"/>
    <x v="2"/>
    <s v="MOTO"/>
  </r>
  <r>
    <s v="AGOSTO"/>
    <s v="MDM-FIBRA-020133103"/>
    <x v="0"/>
    <x v="0"/>
    <s v="CC-79858064"/>
    <s v="ELSSON ERNEY SANDOVAL PIRACON"/>
    <s v="KR 116 77B 42 CA 31"/>
    <s v="ZTE-COLVATEL"/>
    <s v="Escalar 1502 se valida única ruta de acceso a predio presentado obstrucción cables existentes atascados no se mueven"/>
    <s v="BACHUE"/>
    <s v="SOLUCIONADA"/>
    <n v="1502"/>
    <s v="Orden Solucionada_x000a_MDM-FIBRA-020133103_x000a_Se llega a predio, se habla con el usuario el cual autoriza realizar validación. se evidencia ducteria obstruida, se aplica jabón líquido y agua caliente dentro del predio y en cajas de paso mural. se tiende fibra desde la nap, pasando por 3 cajas de paso mural y casa 32 por ducteria compartida. se ingresa a predio por toma principal de la sala y se deja en punto requerido. se gastan 50 mts de baja fricción.  No se generan daños ni pérdidas durante la instalacion. Tecnico cesar hernandez"/>
    <n v="50"/>
    <s v="N/A"/>
    <s v="N/A"/>
    <d v="2026-08-28T00:00:00"/>
    <x v="23"/>
    <x v="1"/>
    <s v="CARRO"/>
  </r>
  <r>
    <s v="AGOSTO"/>
    <s v="MDM-FIBRA-020109938"/>
    <x v="0"/>
    <x v="0"/>
    <s v="CC-1121831342"/>
    <s v="DIANA MAYERLY ESPINOSA PEÑA"/>
    <s v="KR 87B 8A 72 TO 4 AP 516"/>
    <s v="ZTE-COLVATEL"/>
    <s v="se evidencia dificultad para tender la fibra a desde toma de ingreso a caja de distribución de piso,  debido a un tubo desencajado, se requiere apoyo de cuadrilla"/>
    <s v="FONTIBON"/>
    <s v="SOLUCIONADA"/>
    <n v="1502"/>
    <s v="Orden Solucionada_x000a_MDM-FIBRA-020109938_x000a_Se llega a predio, se habla con el usuario, se realiza validación y se busca la ruta desde la nap asignada  en piso 6, se pasa ductería, se llega a predio y se deja en sitio indciado por cliente.  Se gastan 50 de fibra drop de baja fricción. No se generan daños ni pérdidas durante la instalacion. Tecnico jesus silva"/>
    <n v="50"/>
    <s v="N/A"/>
    <s v="N/A"/>
    <d v="2026-08-24T00:00:00"/>
    <x v="23"/>
    <x v="3"/>
    <s v="CARRO"/>
  </r>
  <r>
    <s v="AGOSTO"/>
    <s v="MDM-FIBRA-020137574"/>
    <x v="0"/>
    <x v="0"/>
    <s v="CC-1015999518"/>
    <s v="DIANA KARINA CELY TEATINO"/>
    <s v="KR 98A 15A 70 IN 18 AP 103"/>
    <s v="ZTE-COLVATEL"/>
    <s v="En predio la sonda del strip al apartamento avanza unos 15 mtrs pero tranca se envía desde toma de telefono a strip y no avanza sino 20 cm"/>
    <s v="FONTIBON"/>
    <s v="NO VIABLE"/>
    <n v="1502"/>
    <s v="Orden No viable_x000a_MDM-FIBRA-020137574_x000a_Cuadrilal en predio, se realzia validacion y sondeo,  encontrando obstrucción en codo dentro del predio. se sondea por la parte de la nap y pega justamente en el codo,  TV va hacia terraza, citofono fue adecuado. Cliente validara el tema con administracion. No se generan daños ni pérdidas durante la validacion. autoriza supervisor yeison martinez."/>
    <s v="N/A"/>
    <s v="N/A"/>
    <s v="N/A"/>
    <d v="2026-08-29T00:00:00"/>
    <x v="23"/>
    <x v="3"/>
    <s v="CARRO"/>
  </r>
  <r>
    <s v="AGOSTO"/>
    <s v="MDM-FIBRA-020117386"/>
    <x v="1"/>
    <x v="1"/>
    <s v="NIT-900227741"/>
    <s v="INVERSIONES JASALECH SAS"/>
    <s v="KR 3 76 35 AP 902"/>
    <s v="ZTE-NETWORKING"/>
    <s v=" se llega a predio se valida la ducteria esta obstruida, se requiere cuadrilla de quiebre"/>
    <s v="CHICO"/>
    <s v="SOLUCIONADA"/>
    <n v="1502"/>
    <s v="*Orden Solucionada*_x000a_MDM-FIBRA-020117386_x000a_Se instalan 41 MTRS de drop de baja fricción desde la caja de paso, por ducto de telefonía luego por  una caja de paso hasta la toma de la cocina,  pasamos a una toma de teléfono en la sala y desde alli una toma en habitación luego de esta toma pasamos a la toma del estudio donde usuario solicita el servicio.No se generan daños ni pérdidas durante la instalacion. Tecnico Edwin diaz"/>
    <n v="41"/>
    <s v="N/A"/>
    <s v="N/A"/>
    <d v="2026-08-31T00:00:00"/>
    <x v="23"/>
    <x v="2"/>
    <s v="MOTO"/>
  </r>
  <r>
    <m/>
    <m/>
    <x v="2"/>
    <x v="2"/>
    <m/>
    <m/>
    <m/>
    <m/>
    <m/>
    <m/>
    <m/>
    <m/>
    <m/>
    <m/>
    <m/>
    <m/>
    <m/>
    <x v="24"/>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44B2E-6C7A-4445-A531-731F37436104}" name="PivotTable1" cacheId="0" applyNumberFormats="0" applyBorderFormats="0" applyFontFormats="0" applyPatternFormats="0" applyAlignmentFormats="0" applyWidthHeightFormats="1" dataCaption="Values" grandTotalCaption="Q Ordenes atendidas" updatedVersion="8" minRefreshableVersion="3" useAutoFormatting="1" createdVersion="5" indent="0" compact="0" outline="1" outlineData="1" compactData="0" multipleFieldFilters="0">
  <location ref="A3:AB14" firstHeaderRow="1" firstDataRow="2" firstDataCol="3"/>
  <pivotFields count="20">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axis="axisRow" compact="0" showAll="0">
      <items count="4">
        <item x="2"/>
        <item x="0"/>
        <item x="1"/>
        <item t="default"/>
      </items>
      <extLst>
        <ext xmlns:x14="http://schemas.microsoft.com/office/spreadsheetml/2009/9/main" uri="{2946ED86-A175-432a-8AC1-64E0C546D7DE}">
          <x14:pivotField fillDownLabels="1"/>
        </ext>
      </extLst>
    </pivotField>
    <pivotField axis="axisRow" compact="0" showAll="0">
      <items count="4">
        <item x="2"/>
        <item x="0"/>
        <item x="1"/>
        <item t="default"/>
      </items>
      <extLst>
        <ext xmlns:x14="http://schemas.microsoft.com/office/spreadsheetml/2009/9/main" uri="{2946ED86-A175-432a-8AC1-64E0C546D7DE}">
          <x14:pivotField fillDownLabels="1"/>
        </ext>
      </extLst>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14" showAll="0"/>
    <pivotField axis="axisCol" compact="0" numFmtId="14" showAll="0" sortType="ascending">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compact="0" multipleItemSelectionAllowed="1" showAll="0">
      <items count="10">
        <item x="1"/>
        <item h="1" x="5"/>
        <item x="2"/>
        <item x="4"/>
        <item m="1" x="8"/>
        <item x="0"/>
        <item h="1" x="6"/>
        <item x="3"/>
        <item m="1" x="7"/>
        <item t="default"/>
      </items>
    </pivotField>
    <pivotField compact="0" showAll="0"/>
  </pivotFields>
  <rowFields count="3">
    <field x="2"/>
    <field x="3"/>
    <field x="18"/>
  </rowFields>
  <rowItems count="10">
    <i>
      <x v="1"/>
    </i>
    <i r="1">
      <x v="1"/>
    </i>
    <i r="2">
      <x/>
    </i>
    <i r="2">
      <x v="3"/>
    </i>
    <i r="2">
      <x v="5"/>
    </i>
    <i r="2">
      <x v="7"/>
    </i>
    <i>
      <x v="2"/>
    </i>
    <i r="1">
      <x v="2"/>
    </i>
    <i r="2">
      <x v="2"/>
    </i>
    <i t="grand">
      <x/>
    </i>
  </rowItems>
  <colFields count="1">
    <field x="17"/>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Count of ORDEN DE TRABAJO" fld="1" subtotal="count" baseField="0" baseItem="0"/>
  </dataFields>
  <formats count="10">
    <format dxfId="12">
      <pivotArea dataOnly="0" labelOnly="1" grandCol="1" fieldPosition="0"/>
    </format>
    <format dxfId="11">
      <pivotArea field="3" type="button" dataOnly="0" labelOnly="1" outline="0" axis="axisRow" fieldPosition="1"/>
    </format>
    <format dxfId="10">
      <pivotArea field="18" type="button" dataOnly="0" labelOnly="1" outline="0" axis="axisRow" fieldPosition="2"/>
    </format>
    <format dxfId="9">
      <pivotArea dataOnly="0" labelOnly="1" grandCol="1" fieldPosition="0"/>
    </format>
    <format dxfId="8">
      <pivotArea field="2" type="button" dataOnly="0" labelOnly="1" outline="0" axis="axisRow" fieldPosition="0"/>
    </format>
    <format dxfId="7">
      <pivotArea dataOnly="0" labelOnly="1" grandCol="1" fieldPosition="0"/>
    </format>
    <format dxfId="6">
      <pivotArea dataOnly="0" labelOnly="1" outline="0" fieldPosition="0">
        <references count="3">
          <reference field="2" count="1" selected="0">
            <x v="1"/>
          </reference>
          <reference field="3" count="1" selected="0">
            <x v="1"/>
          </reference>
          <reference field="18" count="4">
            <x v="0"/>
            <x v="3"/>
            <x v="4"/>
            <x v="5"/>
          </reference>
        </references>
      </pivotArea>
    </format>
    <format dxfId="5">
      <pivotArea dataOnly="0" labelOnly="1" outline="0" fieldPosition="0">
        <references count="3">
          <reference field="2" count="1" selected="0">
            <x v="2"/>
          </reference>
          <reference field="3" count="1" selected="0">
            <x v="2"/>
          </reference>
          <reference field="18" count="1">
            <x v="2"/>
          </reference>
        </references>
      </pivotArea>
    </format>
    <format dxfId="4">
      <pivotArea dataOnly="0" labelOnly="1" outline="0" fieldPosition="0">
        <references count="3">
          <reference field="2" count="1" selected="0">
            <x v="1"/>
          </reference>
          <reference field="3" count="1" selected="0">
            <x v="1"/>
          </reference>
          <reference field="18" count="1">
            <x v="7"/>
          </reference>
        </references>
      </pivotArea>
    </format>
    <format dxfId="3">
      <pivotArea dataOnly="0" labelOnly="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U397"/>
  <sheetViews>
    <sheetView tabSelected="1" workbookViewId="0">
      <selection activeCell="A2" sqref="A2:A397"/>
    </sheetView>
  </sheetViews>
  <sheetFormatPr baseColWidth="10" defaultColWidth="11.42578125" defaultRowHeight="15"/>
  <cols>
    <col min="1" max="1" width="14.140625" style="1" customWidth="1"/>
    <col min="2" max="2" width="21.5703125" style="1" customWidth="1"/>
    <col min="3" max="4" width="29.140625" style="1" hidden="1" customWidth="1"/>
    <col min="5" max="5" width="20.7109375" style="1" customWidth="1"/>
    <col min="6" max="6" width="26.85546875" style="1" customWidth="1"/>
    <col min="7" max="7" width="28.42578125" style="1" customWidth="1"/>
    <col min="8" max="8" width="27" style="1" customWidth="1"/>
    <col min="9" max="9" width="39.28515625" style="1" customWidth="1"/>
    <col min="10" max="10" width="16.28515625" style="1" customWidth="1"/>
    <col min="11" max="11" width="19.42578125" style="1" customWidth="1"/>
    <col min="12" max="12" width="14.28515625" style="1" customWidth="1"/>
    <col min="13" max="13" width="50" style="1" customWidth="1"/>
    <col min="14" max="16" width="13.5703125" style="1" customWidth="1"/>
    <col min="17" max="17" width="16.140625" style="1" customWidth="1"/>
    <col min="18" max="18" width="15.7109375" style="1" customWidth="1"/>
    <col min="19" max="19" width="29.140625" style="1" customWidth="1"/>
    <col min="20" max="20" width="20.7109375" style="1" customWidth="1"/>
    <col min="21" max="16384" width="11.42578125" style="1"/>
  </cols>
  <sheetData>
    <row r="1" spans="1:21" ht="27" customHeight="1" thickTop="1" thickBot="1">
      <c r="A1" s="2" t="s">
        <v>11</v>
      </c>
      <c r="B1" s="3" t="s">
        <v>12</v>
      </c>
      <c r="C1" s="4" t="s">
        <v>2</v>
      </c>
      <c r="D1" s="4" t="s">
        <v>3</v>
      </c>
      <c r="E1" s="3" t="s">
        <v>13</v>
      </c>
      <c r="F1" s="5" t="s">
        <v>14</v>
      </c>
      <c r="G1" s="5" t="s">
        <v>15</v>
      </c>
      <c r="H1" s="6" t="s">
        <v>16</v>
      </c>
      <c r="I1" s="6" t="s">
        <v>17</v>
      </c>
      <c r="J1" s="5" t="s">
        <v>18</v>
      </c>
      <c r="K1" s="3" t="s">
        <v>19</v>
      </c>
      <c r="L1" s="3" t="s">
        <v>20</v>
      </c>
      <c r="M1" s="5" t="s">
        <v>21</v>
      </c>
      <c r="N1" s="5" t="s">
        <v>22</v>
      </c>
      <c r="O1" s="5" t="s">
        <v>23</v>
      </c>
      <c r="P1" s="5" t="s">
        <v>24</v>
      </c>
      <c r="Q1" s="5" t="s">
        <v>25</v>
      </c>
      <c r="R1" s="5" t="s">
        <v>1</v>
      </c>
      <c r="S1" s="5" t="s">
        <v>4</v>
      </c>
      <c r="T1" s="5" t="s">
        <v>26</v>
      </c>
      <c r="U1" s="5" t="s">
        <v>36</v>
      </c>
    </row>
    <row r="2" spans="1:21" ht="33.6" customHeight="1" thickTop="1" thickBot="1">
      <c r="A2" s="18" t="str">
        <f>TEXT(R2,"MMMM")</f>
        <v>agosto</v>
      </c>
      <c r="B2" s="18" t="s">
        <v>82</v>
      </c>
      <c r="C2" s="7" t="s">
        <v>7</v>
      </c>
      <c r="D2" s="7" t="s">
        <v>8</v>
      </c>
      <c r="E2" s="18" t="s">
        <v>83</v>
      </c>
      <c r="F2" s="18" t="s">
        <v>84</v>
      </c>
      <c r="G2" s="19" t="s">
        <v>85</v>
      </c>
      <c r="H2" s="18" t="s">
        <v>46</v>
      </c>
      <c r="I2" s="18" t="s">
        <v>86</v>
      </c>
      <c r="J2" s="18" t="s">
        <v>51</v>
      </c>
      <c r="K2" s="20" t="s">
        <v>34</v>
      </c>
      <c r="L2" s="20">
        <v>1502</v>
      </c>
      <c r="M2" s="20" t="s">
        <v>125</v>
      </c>
      <c r="N2" s="20" t="s">
        <v>30</v>
      </c>
      <c r="O2" s="20" t="s">
        <v>30</v>
      </c>
      <c r="P2" s="20" t="s">
        <v>30</v>
      </c>
      <c r="Q2" s="21">
        <v>46228</v>
      </c>
      <c r="R2" s="21">
        <v>46235</v>
      </c>
      <c r="S2" s="20" t="s">
        <v>53</v>
      </c>
      <c r="T2" s="18" t="s">
        <v>31</v>
      </c>
      <c r="U2" s="18" t="s">
        <v>30</v>
      </c>
    </row>
    <row r="3" spans="1:21" ht="33.6" customHeight="1" thickTop="1" thickBot="1">
      <c r="A3" s="18" t="str">
        <f t="shared" ref="A3:A66" si="0">TEXT(R3,"MMMM")</f>
        <v>agosto</v>
      </c>
      <c r="B3" s="18" t="s">
        <v>113</v>
      </c>
      <c r="C3" s="7" t="s">
        <v>7</v>
      </c>
      <c r="D3" s="7" t="s">
        <v>8</v>
      </c>
      <c r="E3" s="18" t="s">
        <v>126</v>
      </c>
      <c r="F3" s="18" t="s">
        <v>127</v>
      </c>
      <c r="G3" s="19" t="s">
        <v>128</v>
      </c>
      <c r="H3" s="18" t="s">
        <v>46</v>
      </c>
      <c r="I3" s="18" t="s">
        <v>47</v>
      </c>
      <c r="J3" s="18" t="s">
        <v>57</v>
      </c>
      <c r="K3" s="20" t="s">
        <v>34</v>
      </c>
      <c r="L3" s="20">
        <v>1502</v>
      </c>
      <c r="M3" s="20" t="s">
        <v>129</v>
      </c>
      <c r="N3" s="20" t="s">
        <v>30</v>
      </c>
      <c r="O3" s="20" t="s">
        <v>30</v>
      </c>
      <c r="P3" s="20" t="s">
        <v>30</v>
      </c>
      <c r="Q3" s="21">
        <v>46233</v>
      </c>
      <c r="R3" s="21">
        <v>46235</v>
      </c>
      <c r="S3" s="20" t="s">
        <v>35</v>
      </c>
      <c r="T3" s="18" t="s">
        <v>31</v>
      </c>
      <c r="U3" s="18" t="s">
        <v>30</v>
      </c>
    </row>
    <row r="4" spans="1:21" ht="33.6" customHeight="1" thickTop="1" thickBot="1">
      <c r="A4" s="18" t="str">
        <f t="shared" si="0"/>
        <v>agosto</v>
      </c>
      <c r="B4" s="18" t="s">
        <v>114</v>
      </c>
      <c r="C4" s="7" t="s">
        <v>9</v>
      </c>
      <c r="D4" s="7" t="s">
        <v>10</v>
      </c>
      <c r="E4" s="18" t="s">
        <v>130</v>
      </c>
      <c r="F4" s="18" t="s">
        <v>131</v>
      </c>
      <c r="G4" s="19" t="s">
        <v>132</v>
      </c>
      <c r="H4" s="18" t="s">
        <v>46</v>
      </c>
      <c r="I4" s="18" t="s">
        <v>133</v>
      </c>
      <c r="J4" s="18" t="s">
        <v>62</v>
      </c>
      <c r="K4" s="20" t="s">
        <v>43</v>
      </c>
      <c r="L4" s="20">
        <v>1502</v>
      </c>
      <c r="M4" s="20" t="s">
        <v>134</v>
      </c>
      <c r="N4" s="20">
        <v>15</v>
      </c>
      <c r="O4" s="20" t="s">
        <v>30</v>
      </c>
      <c r="P4" s="20" t="s">
        <v>30</v>
      </c>
      <c r="Q4" s="21">
        <v>46234</v>
      </c>
      <c r="R4" s="21">
        <v>46235</v>
      </c>
      <c r="S4" s="20" t="s">
        <v>41</v>
      </c>
      <c r="T4" s="18" t="s">
        <v>42</v>
      </c>
      <c r="U4" s="18" t="s">
        <v>1113</v>
      </c>
    </row>
    <row r="5" spans="1:21" ht="33.6" customHeight="1" thickTop="1" thickBot="1">
      <c r="A5" s="18" t="str">
        <f t="shared" si="0"/>
        <v>agosto</v>
      </c>
      <c r="B5" s="18" t="s">
        <v>115</v>
      </c>
      <c r="C5" s="7" t="s">
        <v>7</v>
      </c>
      <c r="D5" s="7" t="s">
        <v>8</v>
      </c>
      <c r="E5" s="18" t="s">
        <v>135</v>
      </c>
      <c r="F5" s="18" t="s">
        <v>136</v>
      </c>
      <c r="G5" s="19" t="s">
        <v>137</v>
      </c>
      <c r="H5" s="18" t="s">
        <v>32</v>
      </c>
      <c r="I5" s="18" t="s">
        <v>138</v>
      </c>
      <c r="J5" s="18" t="s">
        <v>51</v>
      </c>
      <c r="K5" s="20" t="s">
        <v>39</v>
      </c>
      <c r="L5" s="20">
        <v>1502</v>
      </c>
      <c r="M5" s="20" t="s">
        <v>139</v>
      </c>
      <c r="N5" s="20" t="s">
        <v>30</v>
      </c>
      <c r="O5" s="20" t="s">
        <v>30</v>
      </c>
      <c r="P5" s="20" t="s">
        <v>30</v>
      </c>
      <c r="Q5" s="21">
        <v>46234</v>
      </c>
      <c r="R5" s="21">
        <v>46235</v>
      </c>
      <c r="S5" s="20" t="s">
        <v>53</v>
      </c>
      <c r="T5" s="18" t="s">
        <v>31</v>
      </c>
      <c r="U5" s="18" t="s">
        <v>30</v>
      </c>
    </row>
    <row r="6" spans="1:21" ht="33.6" customHeight="1" thickTop="1" thickBot="1">
      <c r="A6" s="18" t="str">
        <f t="shared" si="0"/>
        <v>agosto</v>
      </c>
      <c r="B6" s="18" t="s">
        <v>116</v>
      </c>
      <c r="C6" s="7" t="s">
        <v>7</v>
      </c>
      <c r="D6" s="7" t="s">
        <v>8</v>
      </c>
      <c r="E6" s="18" t="s">
        <v>140</v>
      </c>
      <c r="F6" s="18" t="s">
        <v>141</v>
      </c>
      <c r="G6" s="19" t="s">
        <v>142</v>
      </c>
      <c r="H6" s="18" t="s">
        <v>40</v>
      </c>
      <c r="I6" s="18" t="s">
        <v>61</v>
      </c>
      <c r="J6" s="18" t="s">
        <v>38</v>
      </c>
      <c r="K6" s="20" t="s">
        <v>43</v>
      </c>
      <c r="L6" s="20">
        <v>1502</v>
      </c>
      <c r="M6" s="20" t="s">
        <v>143</v>
      </c>
      <c r="N6" s="20">
        <v>50</v>
      </c>
      <c r="O6" s="20" t="s">
        <v>30</v>
      </c>
      <c r="P6" s="20" t="s">
        <v>30</v>
      </c>
      <c r="Q6" s="21">
        <v>46234</v>
      </c>
      <c r="R6" s="21">
        <v>46235</v>
      </c>
      <c r="S6" s="20" t="s">
        <v>52</v>
      </c>
      <c r="T6" s="18" t="s">
        <v>31</v>
      </c>
      <c r="U6" s="18" t="s">
        <v>1113</v>
      </c>
    </row>
    <row r="7" spans="1:21" ht="33.6" customHeight="1" thickTop="1" thickBot="1">
      <c r="A7" s="18" t="str">
        <f t="shared" si="0"/>
        <v>agosto</v>
      </c>
      <c r="B7" s="18" t="s">
        <v>117</v>
      </c>
      <c r="C7" s="7" t="s">
        <v>7</v>
      </c>
      <c r="D7" s="7" t="s">
        <v>8</v>
      </c>
      <c r="E7" s="18" t="s">
        <v>144</v>
      </c>
      <c r="F7" s="18" t="s">
        <v>145</v>
      </c>
      <c r="G7" s="19" t="s">
        <v>146</v>
      </c>
      <c r="H7" s="18" t="s">
        <v>40</v>
      </c>
      <c r="I7" s="18" t="s">
        <v>147</v>
      </c>
      <c r="J7" s="18" t="s">
        <v>38</v>
      </c>
      <c r="K7" s="20" t="s">
        <v>43</v>
      </c>
      <c r="L7" s="20">
        <v>1502</v>
      </c>
      <c r="M7" s="20" t="s">
        <v>148</v>
      </c>
      <c r="N7" s="20">
        <v>40</v>
      </c>
      <c r="O7" s="20" t="s">
        <v>30</v>
      </c>
      <c r="P7" s="20" t="s">
        <v>30</v>
      </c>
      <c r="Q7" s="21">
        <v>46234</v>
      </c>
      <c r="R7" s="21">
        <v>46235</v>
      </c>
      <c r="S7" s="20" t="s">
        <v>49</v>
      </c>
      <c r="T7" s="18" t="s">
        <v>31</v>
      </c>
      <c r="U7" s="18" t="s">
        <v>1113</v>
      </c>
    </row>
    <row r="8" spans="1:21" ht="33.6" customHeight="1" thickTop="1" thickBot="1">
      <c r="A8" s="18" t="str">
        <f t="shared" si="0"/>
        <v>agosto</v>
      </c>
      <c r="B8" s="18" t="s">
        <v>118</v>
      </c>
      <c r="C8" s="7" t="s">
        <v>7</v>
      </c>
      <c r="D8" s="7" t="s">
        <v>8</v>
      </c>
      <c r="E8" s="18" t="s">
        <v>149</v>
      </c>
      <c r="F8" s="18" t="s">
        <v>150</v>
      </c>
      <c r="G8" s="19" t="s">
        <v>151</v>
      </c>
      <c r="H8" s="18" t="s">
        <v>40</v>
      </c>
      <c r="I8" s="18" t="s">
        <v>152</v>
      </c>
      <c r="J8" s="18" t="s">
        <v>38</v>
      </c>
      <c r="K8" s="20" t="s">
        <v>43</v>
      </c>
      <c r="L8" s="20">
        <v>1502</v>
      </c>
      <c r="M8" s="20" t="s">
        <v>153</v>
      </c>
      <c r="N8" s="20">
        <v>40</v>
      </c>
      <c r="O8" s="20" t="s">
        <v>30</v>
      </c>
      <c r="P8" s="20" t="s">
        <v>30</v>
      </c>
      <c r="Q8" s="21">
        <v>46234</v>
      </c>
      <c r="R8" s="21">
        <v>46235</v>
      </c>
      <c r="S8" s="20" t="s">
        <v>52</v>
      </c>
      <c r="T8" s="18" t="s">
        <v>31</v>
      </c>
      <c r="U8" s="18" t="s">
        <v>1113</v>
      </c>
    </row>
    <row r="9" spans="1:21" ht="33.6" customHeight="1" thickTop="1" thickBot="1">
      <c r="A9" s="18" t="str">
        <f t="shared" si="0"/>
        <v>agosto</v>
      </c>
      <c r="B9" s="18" t="s">
        <v>119</v>
      </c>
      <c r="C9" s="7" t="s">
        <v>7</v>
      </c>
      <c r="D9" s="7" t="s">
        <v>8</v>
      </c>
      <c r="E9" s="18" t="s">
        <v>154</v>
      </c>
      <c r="F9" s="18" t="s">
        <v>155</v>
      </c>
      <c r="G9" s="19" t="s">
        <v>156</v>
      </c>
      <c r="H9" s="18" t="s">
        <v>46</v>
      </c>
      <c r="I9" s="18" t="s">
        <v>47</v>
      </c>
      <c r="J9" s="18" t="s">
        <v>57</v>
      </c>
      <c r="K9" s="20" t="s">
        <v>43</v>
      </c>
      <c r="L9" s="20">
        <v>1502</v>
      </c>
      <c r="M9" s="20" t="s">
        <v>157</v>
      </c>
      <c r="N9" s="20">
        <v>70</v>
      </c>
      <c r="O9" s="20" t="s">
        <v>30</v>
      </c>
      <c r="P9" s="20" t="s">
        <v>30</v>
      </c>
      <c r="Q9" s="21">
        <v>46234</v>
      </c>
      <c r="R9" s="21">
        <v>46235</v>
      </c>
      <c r="S9" s="20" t="s">
        <v>35</v>
      </c>
      <c r="T9" s="18" t="s">
        <v>31</v>
      </c>
      <c r="U9" s="18" t="s">
        <v>1113</v>
      </c>
    </row>
    <row r="10" spans="1:21" ht="33.6" customHeight="1" thickTop="1" thickBot="1">
      <c r="A10" s="18" t="str">
        <f t="shared" si="0"/>
        <v>agosto</v>
      </c>
      <c r="B10" s="18" t="s">
        <v>120</v>
      </c>
      <c r="C10" s="7" t="s">
        <v>9</v>
      </c>
      <c r="D10" s="7" t="s">
        <v>10</v>
      </c>
      <c r="E10" s="18" t="s">
        <v>158</v>
      </c>
      <c r="F10" s="18" t="s">
        <v>159</v>
      </c>
      <c r="G10" s="19" t="s">
        <v>160</v>
      </c>
      <c r="H10" s="18" t="s">
        <v>40</v>
      </c>
      <c r="I10" s="18" t="s">
        <v>44</v>
      </c>
      <c r="J10" s="18" t="s">
        <v>38</v>
      </c>
      <c r="K10" s="20" t="s">
        <v>43</v>
      </c>
      <c r="L10" s="20">
        <v>1502</v>
      </c>
      <c r="M10" s="20" t="s">
        <v>161</v>
      </c>
      <c r="N10" s="20">
        <v>28</v>
      </c>
      <c r="O10" s="20" t="s">
        <v>30</v>
      </c>
      <c r="P10" s="20" t="s">
        <v>30</v>
      </c>
      <c r="Q10" s="21">
        <v>46234</v>
      </c>
      <c r="R10" s="21">
        <v>46235</v>
      </c>
      <c r="S10" s="20" t="s">
        <v>41</v>
      </c>
      <c r="T10" s="18" t="s">
        <v>42</v>
      </c>
      <c r="U10" s="18" t="s">
        <v>1113</v>
      </c>
    </row>
    <row r="11" spans="1:21" ht="33.6" customHeight="1" thickTop="1" thickBot="1">
      <c r="A11" s="18" t="str">
        <f t="shared" si="0"/>
        <v>agosto</v>
      </c>
      <c r="B11" s="18" t="s">
        <v>121</v>
      </c>
      <c r="C11" s="7" t="s">
        <v>7</v>
      </c>
      <c r="D11" s="7" t="s">
        <v>8</v>
      </c>
      <c r="E11" s="18" t="s">
        <v>162</v>
      </c>
      <c r="F11" s="18" t="s">
        <v>163</v>
      </c>
      <c r="G11" s="19" t="s">
        <v>164</v>
      </c>
      <c r="H11" s="18" t="s">
        <v>37</v>
      </c>
      <c r="I11" s="18" t="s">
        <v>165</v>
      </c>
      <c r="J11" s="18" t="s">
        <v>60</v>
      </c>
      <c r="K11" s="20" t="s">
        <v>43</v>
      </c>
      <c r="L11" s="20">
        <v>1502</v>
      </c>
      <c r="M11" s="20" t="s">
        <v>166</v>
      </c>
      <c r="N11" s="20">
        <v>20</v>
      </c>
      <c r="O11" s="20" t="s">
        <v>30</v>
      </c>
      <c r="P11" s="20" t="s">
        <v>30</v>
      </c>
      <c r="Q11" s="21">
        <v>46234</v>
      </c>
      <c r="R11" s="21">
        <v>46235</v>
      </c>
      <c r="S11" s="20" t="s">
        <v>49</v>
      </c>
      <c r="T11" s="18" t="s">
        <v>31</v>
      </c>
      <c r="U11" s="18" t="s">
        <v>1113</v>
      </c>
    </row>
    <row r="12" spans="1:21" ht="33.6" customHeight="1" thickTop="1" thickBot="1">
      <c r="A12" s="18" t="str">
        <f t="shared" si="0"/>
        <v>agosto</v>
      </c>
      <c r="B12" s="18" t="s">
        <v>122</v>
      </c>
      <c r="E12" s="18" t="s">
        <v>167</v>
      </c>
      <c r="F12" s="18" t="s">
        <v>168</v>
      </c>
      <c r="G12" s="19" t="s">
        <v>169</v>
      </c>
      <c r="H12" s="18" t="s">
        <v>32</v>
      </c>
      <c r="I12" s="18" t="s">
        <v>170</v>
      </c>
      <c r="J12" s="18" t="s">
        <v>62</v>
      </c>
      <c r="K12" s="20" t="s">
        <v>34</v>
      </c>
      <c r="L12" s="20">
        <v>1502</v>
      </c>
      <c r="M12" s="20" t="s">
        <v>170</v>
      </c>
      <c r="N12" s="20" t="s">
        <v>30</v>
      </c>
      <c r="O12" s="20" t="s">
        <v>30</v>
      </c>
      <c r="P12" s="20" t="s">
        <v>30</v>
      </c>
      <c r="Q12" s="21">
        <v>46234</v>
      </c>
      <c r="R12" s="21">
        <v>46235</v>
      </c>
      <c r="S12" s="20" t="s">
        <v>56</v>
      </c>
      <c r="T12" s="18" t="s">
        <v>30</v>
      </c>
      <c r="U12" s="18" t="s">
        <v>30</v>
      </c>
    </row>
    <row r="13" spans="1:21" ht="33.6" customHeight="1" thickTop="1" thickBot="1">
      <c r="A13" s="18" t="str">
        <f t="shared" si="0"/>
        <v>agosto</v>
      </c>
      <c r="B13" s="18" t="s">
        <v>123</v>
      </c>
      <c r="E13" s="18" t="s">
        <v>75</v>
      </c>
      <c r="F13" s="18" t="s">
        <v>76</v>
      </c>
      <c r="G13" s="19" t="s">
        <v>77</v>
      </c>
      <c r="H13" s="18" t="s">
        <v>40</v>
      </c>
      <c r="I13" s="18" t="s">
        <v>171</v>
      </c>
      <c r="J13" s="18" t="s">
        <v>38</v>
      </c>
      <c r="K13" s="20" t="s">
        <v>34</v>
      </c>
      <c r="L13" s="20">
        <v>1502</v>
      </c>
      <c r="M13" s="20" t="s">
        <v>171</v>
      </c>
      <c r="N13" s="20" t="s">
        <v>30</v>
      </c>
      <c r="O13" s="20" t="s">
        <v>30</v>
      </c>
      <c r="P13" s="20" t="s">
        <v>30</v>
      </c>
      <c r="Q13" s="21">
        <v>46235</v>
      </c>
      <c r="R13" s="21">
        <v>46235</v>
      </c>
      <c r="S13" s="20" t="s">
        <v>56</v>
      </c>
      <c r="T13" s="18" t="s">
        <v>30</v>
      </c>
      <c r="U13" s="18" t="s">
        <v>30</v>
      </c>
    </row>
    <row r="14" spans="1:21" ht="33.6" customHeight="1" thickTop="1" thickBot="1">
      <c r="A14" s="18" t="str">
        <f t="shared" si="0"/>
        <v>agosto</v>
      </c>
      <c r="B14" s="18" t="s">
        <v>124</v>
      </c>
      <c r="E14" s="18" t="s">
        <v>172</v>
      </c>
      <c r="F14" s="18" t="s">
        <v>173</v>
      </c>
      <c r="G14" s="19" t="s">
        <v>174</v>
      </c>
      <c r="H14" s="18" t="s">
        <v>37</v>
      </c>
      <c r="I14" s="18" t="s">
        <v>175</v>
      </c>
      <c r="J14" s="18" t="s">
        <v>60</v>
      </c>
      <c r="K14" s="20" t="s">
        <v>34</v>
      </c>
      <c r="L14" s="20">
        <v>1502</v>
      </c>
      <c r="M14" s="20" t="s">
        <v>175</v>
      </c>
      <c r="N14" s="20" t="s">
        <v>30</v>
      </c>
      <c r="O14" s="20" t="s">
        <v>30</v>
      </c>
      <c r="P14" s="20" t="s">
        <v>30</v>
      </c>
      <c r="Q14" s="21">
        <v>46235</v>
      </c>
      <c r="R14" s="21">
        <v>46235</v>
      </c>
      <c r="S14" s="20" t="s">
        <v>56</v>
      </c>
      <c r="T14" s="18" t="s">
        <v>30</v>
      </c>
      <c r="U14" s="18" t="s">
        <v>30</v>
      </c>
    </row>
    <row r="15" spans="1:21" ht="33.6" customHeight="1" thickTop="1" thickBot="1">
      <c r="A15" s="18" t="str">
        <f t="shared" si="0"/>
        <v>agosto</v>
      </c>
      <c r="B15" s="18" t="s">
        <v>102</v>
      </c>
      <c r="C15" s="7" t="s">
        <v>9</v>
      </c>
      <c r="D15" s="7" t="s">
        <v>10</v>
      </c>
      <c r="E15" s="18" t="s">
        <v>107</v>
      </c>
      <c r="F15" s="18" t="s">
        <v>108</v>
      </c>
      <c r="G15" s="19" t="s">
        <v>109</v>
      </c>
      <c r="H15" s="18" t="s">
        <v>40</v>
      </c>
      <c r="I15" s="18" t="s">
        <v>110</v>
      </c>
      <c r="J15" s="18" t="s">
        <v>38</v>
      </c>
      <c r="K15" s="20" t="s">
        <v>43</v>
      </c>
      <c r="L15" s="20">
        <v>1502</v>
      </c>
      <c r="M15" s="20" t="s">
        <v>191</v>
      </c>
      <c r="N15" s="20">
        <v>40</v>
      </c>
      <c r="O15" s="20" t="s">
        <v>30</v>
      </c>
      <c r="P15" s="20" t="s">
        <v>30</v>
      </c>
      <c r="Q15" s="21">
        <v>46234</v>
      </c>
      <c r="R15" s="21">
        <v>46237</v>
      </c>
      <c r="S15" s="20" t="s">
        <v>41</v>
      </c>
      <c r="T15" s="18" t="s">
        <v>42</v>
      </c>
      <c r="U15" s="18" t="s">
        <v>1113</v>
      </c>
    </row>
    <row r="16" spans="1:21" ht="33.6" customHeight="1" thickTop="1" thickBot="1">
      <c r="A16" s="18" t="str">
        <f t="shared" si="0"/>
        <v>agosto</v>
      </c>
      <c r="B16" s="18" t="s">
        <v>176</v>
      </c>
      <c r="C16" s="7" t="s">
        <v>7</v>
      </c>
      <c r="D16" s="7" t="s">
        <v>8</v>
      </c>
      <c r="E16" s="18" t="s">
        <v>192</v>
      </c>
      <c r="F16" s="18" t="s">
        <v>193</v>
      </c>
      <c r="G16" s="19" t="s">
        <v>194</v>
      </c>
      <c r="H16" s="18" t="s">
        <v>64</v>
      </c>
      <c r="I16" s="18" t="s">
        <v>195</v>
      </c>
      <c r="J16" s="18" t="s">
        <v>55</v>
      </c>
      <c r="K16" s="20" t="s">
        <v>34</v>
      </c>
      <c r="L16" s="20">
        <v>1502</v>
      </c>
      <c r="M16" s="20" t="s">
        <v>196</v>
      </c>
      <c r="N16" s="20" t="s">
        <v>30</v>
      </c>
      <c r="O16" s="20" t="s">
        <v>30</v>
      </c>
      <c r="P16" s="20" t="s">
        <v>30</v>
      </c>
      <c r="Q16" s="21">
        <v>46234</v>
      </c>
      <c r="R16" s="21">
        <v>46237</v>
      </c>
      <c r="S16" s="20" t="s">
        <v>53</v>
      </c>
      <c r="T16" s="18" t="s">
        <v>31</v>
      </c>
      <c r="U16" s="18" t="s">
        <v>30</v>
      </c>
    </row>
    <row r="17" spans="1:21" ht="33.6" customHeight="1" thickTop="1" thickBot="1">
      <c r="A17" s="18" t="str">
        <f t="shared" si="0"/>
        <v>agosto</v>
      </c>
      <c r="B17" s="18" t="s">
        <v>101</v>
      </c>
      <c r="C17" s="7" t="s">
        <v>7</v>
      </c>
      <c r="D17" s="7" t="s">
        <v>8</v>
      </c>
      <c r="E17" s="18" t="s">
        <v>103</v>
      </c>
      <c r="F17" s="18" t="s">
        <v>104</v>
      </c>
      <c r="G17" s="19" t="s">
        <v>105</v>
      </c>
      <c r="H17" s="18" t="s">
        <v>40</v>
      </c>
      <c r="I17" s="18" t="s">
        <v>106</v>
      </c>
      <c r="J17" s="18" t="s">
        <v>38</v>
      </c>
      <c r="K17" s="20" t="s">
        <v>34</v>
      </c>
      <c r="L17" s="20">
        <v>1502</v>
      </c>
      <c r="M17" s="20" t="s">
        <v>197</v>
      </c>
      <c r="N17" s="20" t="s">
        <v>30</v>
      </c>
      <c r="O17" s="20" t="s">
        <v>30</v>
      </c>
      <c r="P17" s="20" t="s">
        <v>30</v>
      </c>
      <c r="Q17" s="21">
        <v>46233</v>
      </c>
      <c r="R17" s="21">
        <v>46237</v>
      </c>
      <c r="S17" s="20" t="s">
        <v>35</v>
      </c>
      <c r="T17" s="18" t="s">
        <v>31</v>
      </c>
      <c r="U17" s="18" t="s">
        <v>30</v>
      </c>
    </row>
    <row r="18" spans="1:21" ht="33.6" customHeight="1" thickTop="1" thickBot="1">
      <c r="A18" s="18" t="str">
        <f t="shared" si="0"/>
        <v>agosto</v>
      </c>
      <c r="B18" s="18" t="s">
        <v>177</v>
      </c>
      <c r="C18" s="7" t="s">
        <v>7</v>
      </c>
      <c r="D18" s="7" t="s">
        <v>8</v>
      </c>
      <c r="E18" s="18" t="s">
        <v>198</v>
      </c>
      <c r="F18" s="18" t="s">
        <v>199</v>
      </c>
      <c r="G18" s="19" t="s">
        <v>200</v>
      </c>
      <c r="H18" s="18" t="s">
        <v>37</v>
      </c>
      <c r="I18" s="18" t="s">
        <v>201</v>
      </c>
      <c r="J18" s="18" t="s">
        <v>59</v>
      </c>
      <c r="K18" s="20" t="s">
        <v>39</v>
      </c>
      <c r="L18" s="20">
        <v>1502</v>
      </c>
      <c r="M18" s="20" t="s">
        <v>202</v>
      </c>
      <c r="N18" s="20" t="s">
        <v>30</v>
      </c>
      <c r="O18" s="20" t="s">
        <v>30</v>
      </c>
      <c r="P18" s="20" t="s">
        <v>30</v>
      </c>
      <c r="Q18" s="21">
        <v>46234</v>
      </c>
      <c r="R18" s="21">
        <v>46237</v>
      </c>
      <c r="S18" s="20" t="s">
        <v>52</v>
      </c>
      <c r="T18" s="18" t="s">
        <v>31</v>
      </c>
      <c r="U18" s="18" t="s">
        <v>30</v>
      </c>
    </row>
    <row r="19" spans="1:21" ht="33.6" customHeight="1" thickTop="1" thickBot="1">
      <c r="A19" s="18" t="str">
        <f t="shared" si="0"/>
        <v>agosto</v>
      </c>
      <c r="B19" s="18" t="s">
        <v>178</v>
      </c>
      <c r="C19" s="7" t="s">
        <v>7</v>
      </c>
      <c r="D19" s="7" t="s">
        <v>8</v>
      </c>
      <c r="E19" s="18" t="s">
        <v>203</v>
      </c>
      <c r="F19" s="18" t="s">
        <v>204</v>
      </c>
      <c r="G19" s="19" t="s">
        <v>205</v>
      </c>
      <c r="H19" s="18" t="s">
        <v>37</v>
      </c>
      <c r="I19" s="18" t="s">
        <v>206</v>
      </c>
      <c r="J19" s="18" t="s">
        <v>60</v>
      </c>
      <c r="K19" s="20" t="s">
        <v>39</v>
      </c>
      <c r="L19" s="20">
        <v>1502</v>
      </c>
      <c r="M19" s="20" t="s">
        <v>207</v>
      </c>
      <c r="N19" s="20" t="s">
        <v>30</v>
      </c>
      <c r="O19" s="20" t="s">
        <v>30</v>
      </c>
      <c r="P19" s="20" t="s">
        <v>30</v>
      </c>
      <c r="Q19" s="21">
        <v>46234</v>
      </c>
      <c r="R19" s="21">
        <v>46237</v>
      </c>
      <c r="S19" s="20" t="s">
        <v>53</v>
      </c>
      <c r="T19" s="18" t="s">
        <v>31</v>
      </c>
      <c r="U19" s="18" t="s">
        <v>30</v>
      </c>
    </row>
    <row r="20" spans="1:21" ht="33.6" customHeight="1" thickTop="1" thickBot="1">
      <c r="A20" s="18" t="str">
        <f t="shared" si="0"/>
        <v>agosto</v>
      </c>
      <c r="B20" s="18" t="s">
        <v>179</v>
      </c>
      <c r="C20" s="7" t="s">
        <v>7</v>
      </c>
      <c r="D20" s="7" t="s">
        <v>8</v>
      </c>
      <c r="E20" s="18" t="s">
        <v>208</v>
      </c>
      <c r="F20" s="18" t="s">
        <v>209</v>
      </c>
      <c r="G20" s="19" t="s">
        <v>210</v>
      </c>
      <c r="H20" s="18" t="s">
        <v>32</v>
      </c>
      <c r="I20" s="18" t="s">
        <v>211</v>
      </c>
      <c r="J20" s="18" t="s">
        <v>59</v>
      </c>
      <c r="K20" s="20" t="s">
        <v>34</v>
      </c>
      <c r="L20" s="20">
        <v>1502</v>
      </c>
      <c r="M20" s="20" t="s">
        <v>212</v>
      </c>
      <c r="N20" s="20" t="s">
        <v>30</v>
      </c>
      <c r="O20" s="20" t="s">
        <v>30</v>
      </c>
      <c r="P20" s="20" t="s">
        <v>30</v>
      </c>
      <c r="Q20" s="21">
        <v>46235</v>
      </c>
      <c r="R20" s="21">
        <v>46237</v>
      </c>
      <c r="S20" s="20" t="s">
        <v>35</v>
      </c>
      <c r="T20" s="18" t="s">
        <v>31</v>
      </c>
      <c r="U20" s="18" t="s">
        <v>30</v>
      </c>
    </row>
    <row r="21" spans="1:21" ht="33.6" customHeight="1" thickTop="1" thickBot="1">
      <c r="A21" s="18" t="str">
        <f t="shared" si="0"/>
        <v>agosto</v>
      </c>
      <c r="B21" s="18" t="s">
        <v>180</v>
      </c>
      <c r="C21" s="7" t="s">
        <v>7</v>
      </c>
      <c r="D21" s="7" t="s">
        <v>8</v>
      </c>
      <c r="E21" s="18" t="s">
        <v>213</v>
      </c>
      <c r="F21" s="18" t="s">
        <v>214</v>
      </c>
      <c r="G21" s="19" t="s">
        <v>215</v>
      </c>
      <c r="H21" s="18" t="s">
        <v>32</v>
      </c>
      <c r="I21" s="18" t="s">
        <v>216</v>
      </c>
      <c r="J21" s="18" t="s">
        <v>33</v>
      </c>
      <c r="K21" s="20" t="s">
        <v>43</v>
      </c>
      <c r="L21" s="20">
        <v>1502</v>
      </c>
      <c r="M21" s="20" t="s">
        <v>217</v>
      </c>
      <c r="N21" s="20">
        <v>60</v>
      </c>
      <c r="O21" s="20" t="s">
        <v>30</v>
      </c>
      <c r="P21" s="20" t="s">
        <v>30</v>
      </c>
      <c r="Q21" s="21">
        <v>46235</v>
      </c>
      <c r="R21" s="21">
        <v>46237</v>
      </c>
      <c r="S21" s="20" t="s">
        <v>52</v>
      </c>
      <c r="T21" s="18" t="s">
        <v>31</v>
      </c>
      <c r="U21" s="18" t="s">
        <v>1113</v>
      </c>
    </row>
    <row r="22" spans="1:21" ht="33.6" customHeight="1" thickTop="1" thickBot="1">
      <c r="A22" s="18" t="str">
        <f t="shared" si="0"/>
        <v>agosto</v>
      </c>
      <c r="B22" s="18" t="s">
        <v>181</v>
      </c>
      <c r="C22" s="7" t="s">
        <v>7</v>
      </c>
      <c r="D22" s="7" t="s">
        <v>8</v>
      </c>
      <c r="E22" s="18" t="s">
        <v>218</v>
      </c>
      <c r="F22" s="18" t="s">
        <v>219</v>
      </c>
      <c r="G22" s="19" t="s">
        <v>220</v>
      </c>
      <c r="H22" s="18" t="s">
        <v>32</v>
      </c>
      <c r="I22" s="18" t="s">
        <v>221</v>
      </c>
      <c r="J22" s="18" t="s">
        <v>59</v>
      </c>
      <c r="K22" s="20" t="s">
        <v>34</v>
      </c>
      <c r="L22" s="20">
        <v>1502</v>
      </c>
      <c r="M22" s="20" t="s">
        <v>222</v>
      </c>
      <c r="N22" s="20" t="s">
        <v>30</v>
      </c>
      <c r="O22" s="20" t="s">
        <v>30</v>
      </c>
      <c r="P22" s="20" t="s">
        <v>30</v>
      </c>
      <c r="Q22" s="21">
        <v>46235</v>
      </c>
      <c r="R22" s="21">
        <v>46237</v>
      </c>
      <c r="S22" s="20" t="s">
        <v>52</v>
      </c>
      <c r="T22" s="18" t="s">
        <v>31</v>
      </c>
      <c r="U22" s="18" t="s">
        <v>30</v>
      </c>
    </row>
    <row r="23" spans="1:21" ht="33.6" customHeight="1" thickTop="1" thickBot="1">
      <c r="A23" s="18" t="str">
        <f t="shared" si="0"/>
        <v>agosto</v>
      </c>
      <c r="B23" s="18" t="s">
        <v>182</v>
      </c>
      <c r="C23" s="7" t="s">
        <v>7</v>
      </c>
      <c r="D23" s="7" t="s">
        <v>8</v>
      </c>
      <c r="E23" s="18" t="s">
        <v>223</v>
      </c>
      <c r="F23" s="18" t="s">
        <v>224</v>
      </c>
      <c r="G23" s="19" t="s">
        <v>225</v>
      </c>
      <c r="H23" s="18" t="s">
        <v>32</v>
      </c>
      <c r="I23" s="18" t="s">
        <v>226</v>
      </c>
      <c r="J23" s="18" t="s">
        <v>38</v>
      </c>
      <c r="K23" s="20" t="s">
        <v>43</v>
      </c>
      <c r="L23" s="20">
        <v>1502</v>
      </c>
      <c r="M23" s="20" t="s">
        <v>227</v>
      </c>
      <c r="N23" s="20">
        <v>50</v>
      </c>
      <c r="O23" s="20" t="s">
        <v>30</v>
      </c>
      <c r="P23" s="20" t="s">
        <v>30</v>
      </c>
      <c r="Q23" s="21">
        <v>46235</v>
      </c>
      <c r="R23" s="21">
        <v>46237</v>
      </c>
      <c r="S23" s="20" t="s">
        <v>35</v>
      </c>
      <c r="T23" s="18" t="s">
        <v>31</v>
      </c>
      <c r="U23" s="18" t="s">
        <v>1113</v>
      </c>
    </row>
    <row r="24" spans="1:21" ht="33.6" customHeight="1" thickTop="1" thickBot="1">
      <c r="A24" s="18" t="str">
        <f t="shared" si="0"/>
        <v>agosto</v>
      </c>
      <c r="B24" s="18" t="s">
        <v>183</v>
      </c>
      <c r="C24" s="7" t="s">
        <v>9</v>
      </c>
      <c r="D24" s="7" t="s">
        <v>10</v>
      </c>
      <c r="E24" s="18" t="s">
        <v>228</v>
      </c>
      <c r="F24" s="18" t="s">
        <v>229</v>
      </c>
      <c r="G24" s="19" t="s">
        <v>230</v>
      </c>
      <c r="H24" s="18" t="s">
        <v>40</v>
      </c>
      <c r="I24" s="18" t="s">
        <v>231</v>
      </c>
      <c r="J24" s="18" t="s">
        <v>62</v>
      </c>
      <c r="K24" s="20" t="s">
        <v>39</v>
      </c>
      <c r="L24" s="20">
        <v>1502</v>
      </c>
      <c r="M24" s="20" t="s">
        <v>232</v>
      </c>
      <c r="N24" s="20" t="s">
        <v>30</v>
      </c>
      <c r="O24" s="20" t="s">
        <v>30</v>
      </c>
      <c r="P24" s="20" t="s">
        <v>30</v>
      </c>
      <c r="Q24" s="21">
        <v>46235</v>
      </c>
      <c r="R24" s="21">
        <v>46237</v>
      </c>
      <c r="S24" s="20" t="s">
        <v>41</v>
      </c>
      <c r="T24" s="18" t="s">
        <v>42</v>
      </c>
      <c r="U24" s="18" t="s">
        <v>30</v>
      </c>
    </row>
    <row r="25" spans="1:21" ht="33.6" customHeight="1" thickTop="1" thickBot="1">
      <c r="A25" s="18" t="str">
        <f t="shared" si="0"/>
        <v>agosto</v>
      </c>
      <c r="B25" s="18" t="s">
        <v>184</v>
      </c>
      <c r="C25" s="7" t="s">
        <v>7</v>
      </c>
      <c r="D25" s="7" t="s">
        <v>8</v>
      </c>
      <c r="E25" s="18" t="s">
        <v>233</v>
      </c>
      <c r="F25" s="18" t="s">
        <v>234</v>
      </c>
      <c r="G25" s="19" t="s">
        <v>235</v>
      </c>
      <c r="H25" s="18" t="s">
        <v>32</v>
      </c>
      <c r="I25" s="18" t="s">
        <v>236</v>
      </c>
      <c r="J25" s="18" t="s">
        <v>51</v>
      </c>
      <c r="K25" s="20" t="s">
        <v>43</v>
      </c>
      <c r="L25" s="20">
        <v>1502</v>
      </c>
      <c r="M25" s="20" t="s">
        <v>237</v>
      </c>
      <c r="N25" s="20">
        <v>90</v>
      </c>
      <c r="O25" s="20" t="s">
        <v>30</v>
      </c>
      <c r="P25" s="20" t="s">
        <v>30</v>
      </c>
      <c r="Q25" s="21">
        <v>46235</v>
      </c>
      <c r="R25" s="21">
        <v>46237</v>
      </c>
      <c r="S25" s="20" t="s">
        <v>49</v>
      </c>
      <c r="T25" s="18" t="s">
        <v>31</v>
      </c>
      <c r="U25" s="18" t="s">
        <v>1113</v>
      </c>
    </row>
    <row r="26" spans="1:21" ht="33.6" customHeight="1" thickTop="1" thickBot="1">
      <c r="A26" s="18" t="str">
        <f t="shared" si="0"/>
        <v>agosto</v>
      </c>
      <c r="B26" s="18" t="s">
        <v>185</v>
      </c>
      <c r="C26" s="7" t="s">
        <v>7</v>
      </c>
      <c r="D26" s="7" t="s">
        <v>8</v>
      </c>
      <c r="E26" s="18" t="s">
        <v>238</v>
      </c>
      <c r="F26" s="18" t="s">
        <v>239</v>
      </c>
      <c r="G26" s="19" t="s">
        <v>240</v>
      </c>
      <c r="H26" s="18" t="s">
        <v>46</v>
      </c>
      <c r="I26" s="18" t="s">
        <v>58</v>
      </c>
      <c r="J26" s="18" t="s">
        <v>51</v>
      </c>
      <c r="K26" s="20" t="s">
        <v>39</v>
      </c>
      <c r="L26" s="20">
        <v>1502</v>
      </c>
      <c r="M26" s="20" t="s">
        <v>241</v>
      </c>
      <c r="N26" s="20" t="s">
        <v>30</v>
      </c>
      <c r="O26" s="20" t="s">
        <v>30</v>
      </c>
      <c r="P26" s="20" t="s">
        <v>30</v>
      </c>
      <c r="Q26" s="21">
        <v>46235</v>
      </c>
      <c r="R26" s="21">
        <v>46237</v>
      </c>
      <c r="S26" s="20" t="s">
        <v>49</v>
      </c>
      <c r="T26" s="18" t="s">
        <v>31</v>
      </c>
      <c r="U26" s="18" t="s">
        <v>30</v>
      </c>
    </row>
    <row r="27" spans="1:21" ht="33.6" customHeight="1" thickTop="1" thickBot="1">
      <c r="A27" s="18" t="str">
        <f t="shared" si="0"/>
        <v>agosto</v>
      </c>
      <c r="B27" s="18" t="s">
        <v>186</v>
      </c>
      <c r="C27" s="7" t="s">
        <v>7</v>
      </c>
      <c r="D27" s="7" t="s">
        <v>8</v>
      </c>
      <c r="E27" s="18" t="s">
        <v>242</v>
      </c>
      <c r="F27" s="18" t="s">
        <v>243</v>
      </c>
      <c r="G27" s="19" t="s">
        <v>244</v>
      </c>
      <c r="H27" s="18" t="s">
        <v>64</v>
      </c>
      <c r="I27" s="18" t="s">
        <v>195</v>
      </c>
      <c r="J27" s="18" t="s">
        <v>55</v>
      </c>
      <c r="K27" s="20" t="s">
        <v>43</v>
      </c>
      <c r="L27" s="20">
        <v>1502</v>
      </c>
      <c r="M27" s="20" t="s">
        <v>245</v>
      </c>
      <c r="N27" s="20">
        <v>50</v>
      </c>
      <c r="O27" s="20" t="s">
        <v>30</v>
      </c>
      <c r="P27" s="20" t="s">
        <v>30</v>
      </c>
      <c r="Q27" s="21">
        <v>46235</v>
      </c>
      <c r="R27" s="21">
        <v>46237</v>
      </c>
      <c r="S27" s="20" t="s">
        <v>53</v>
      </c>
      <c r="T27" s="18" t="s">
        <v>31</v>
      </c>
      <c r="U27" s="18" t="s">
        <v>1113</v>
      </c>
    </row>
    <row r="28" spans="1:21" ht="33.6" customHeight="1" thickTop="1" thickBot="1">
      <c r="A28" s="18" t="str">
        <f t="shared" si="0"/>
        <v>agosto</v>
      </c>
      <c r="B28" s="18" t="s">
        <v>187</v>
      </c>
      <c r="C28" s="7" t="s">
        <v>7</v>
      </c>
      <c r="D28" s="7" t="s">
        <v>8</v>
      </c>
      <c r="E28" s="18" t="s">
        <v>246</v>
      </c>
      <c r="F28" s="18" t="s">
        <v>247</v>
      </c>
      <c r="G28" s="19" t="s">
        <v>248</v>
      </c>
      <c r="H28" s="18" t="s">
        <v>64</v>
      </c>
      <c r="I28" s="18" t="s">
        <v>91</v>
      </c>
      <c r="J28" s="18" t="s">
        <v>55</v>
      </c>
      <c r="K28" s="20" t="s">
        <v>34</v>
      </c>
      <c r="L28" s="20">
        <v>1502</v>
      </c>
      <c r="M28" s="20" t="s">
        <v>249</v>
      </c>
      <c r="N28" s="20" t="s">
        <v>30</v>
      </c>
      <c r="O28" s="20" t="s">
        <v>30</v>
      </c>
      <c r="P28" s="20" t="s">
        <v>30</v>
      </c>
      <c r="Q28" s="21">
        <v>46235</v>
      </c>
      <c r="R28" s="21">
        <v>46237</v>
      </c>
      <c r="S28" s="20" t="s">
        <v>49</v>
      </c>
      <c r="T28" s="18" t="s">
        <v>31</v>
      </c>
      <c r="U28" s="18" t="s">
        <v>30</v>
      </c>
    </row>
    <row r="29" spans="1:21" ht="33.6" customHeight="1" thickTop="1" thickBot="1">
      <c r="A29" s="18" t="str">
        <f t="shared" si="0"/>
        <v>agosto</v>
      </c>
      <c r="B29" s="18" t="s">
        <v>188</v>
      </c>
      <c r="E29" s="18" t="s">
        <v>250</v>
      </c>
      <c r="F29" s="18" t="s">
        <v>251</v>
      </c>
      <c r="G29" s="19" t="s">
        <v>252</v>
      </c>
      <c r="H29" s="18" t="s">
        <v>37</v>
      </c>
      <c r="I29" s="18" t="s">
        <v>253</v>
      </c>
      <c r="J29" s="18" t="s">
        <v>60</v>
      </c>
      <c r="K29" s="20" t="s">
        <v>34</v>
      </c>
      <c r="L29" s="20">
        <v>1502</v>
      </c>
      <c r="M29" s="20" t="s">
        <v>254</v>
      </c>
      <c r="N29" s="20" t="s">
        <v>30</v>
      </c>
      <c r="O29" s="20" t="s">
        <v>30</v>
      </c>
      <c r="P29" s="20" t="s">
        <v>30</v>
      </c>
      <c r="Q29" s="21">
        <v>46237</v>
      </c>
      <c r="R29" s="21">
        <v>46237</v>
      </c>
      <c r="S29" s="20" t="s">
        <v>56</v>
      </c>
      <c r="T29" s="18" t="s">
        <v>30</v>
      </c>
      <c r="U29" s="18" t="s">
        <v>30</v>
      </c>
    </row>
    <row r="30" spans="1:21" ht="33.6" customHeight="1" thickTop="1" thickBot="1">
      <c r="A30" s="18" t="str">
        <f t="shared" si="0"/>
        <v>agosto</v>
      </c>
      <c r="B30" s="18" t="s">
        <v>189</v>
      </c>
      <c r="E30" s="18" t="s">
        <v>72</v>
      </c>
      <c r="F30" s="18" t="s">
        <v>73</v>
      </c>
      <c r="G30" s="19" t="s">
        <v>74</v>
      </c>
      <c r="H30" s="18" t="s">
        <v>37</v>
      </c>
      <c r="I30" s="18" t="s">
        <v>255</v>
      </c>
      <c r="J30" s="18" t="s">
        <v>59</v>
      </c>
      <c r="K30" s="20" t="s">
        <v>34</v>
      </c>
      <c r="L30" s="20">
        <v>1502</v>
      </c>
      <c r="M30" s="20" t="s">
        <v>255</v>
      </c>
      <c r="N30" s="20" t="s">
        <v>30</v>
      </c>
      <c r="O30" s="20" t="s">
        <v>30</v>
      </c>
      <c r="P30" s="20" t="s">
        <v>30</v>
      </c>
      <c r="Q30" s="21">
        <v>46237</v>
      </c>
      <c r="R30" s="21">
        <v>46237</v>
      </c>
      <c r="S30" s="20" t="s">
        <v>56</v>
      </c>
      <c r="T30" s="18" t="s">
        <v>30</v>
      </c>
      <c r="U30" s="18" t="s">
        <v>30</v>
      </c>
    </row>
    <row r="31" spans="1:21" ht="33.6" customHeight="1" thickTop="1" thickBot="1">
      <c r="A31" s="18" t="str">
        <f t="shared" si="0"/>
        <v>agosto</v>
      </c>
      <c r="B31" s="18" t="s">
        <v>190</v>
      </c>
      <c r="C31" s="7" t="s">
        <v>7</v>
      </c>
      <c r="D31" s="7" t="s">
        <v>8</v>
      </c>
      <c r="E31" s="18" t="s">
        <v>256</v>
      </c>
      <c r="F31" s="18" t="s">
        <v>257</v>
      </c>
      <c r="G31" s="19" t="s">
        <v>258</v>
      </c>
      <c r="H31" s="18" t="s">
        <v>37</v>
      </c>
      <c r="I31" s="18" t="s">
        <v>259</v>
      </c>
      <c r="J31" s="18" t="s">
        <v>59</v>
      </c>
      <c r="K31" s="20" t="s">
        <v>43</v>
      </c>
      <c r="L31" s="20">
        <v>1502</v>
      </c>
      <c r="M31" s="20" t="s">
        <v>260</v>
      </c>
      <c r="N31" s="20">
        <v>50</v>
      </c>
      <c r="O31" s="20" t="s">
        <v>30</v>
      </c>
      <c r="P31" s="20" t="s">
        <v>30</v>
      </c>
      <c r="Q31" s="21">
        <v>46237</v>
      </c>
      <c r="R31" s="21">
        <v>46237</v>
      </c>
      <c r="S31" s="20" t="s">
        <v>52</v>
      </c>
      <c r="T31" s="18" t="s">
        <v>31</v>
      </c>
      <c r="U31" s="18" t="s">
        <v>1113</v>
      </c>
    </row>
    <row r="32" spans="1:21" ht="33.6" customHeight="1" thickTop="1" thickBot="1">
      <c r="A32" s="18" t="str">
        <f t="shared" si="0"/>
        <v>agosto</v>
      </c>
      <c r="B32" s="18" t="s">
        <v>261</v>
      </c>
      <c r="C32" s="7" t="s">
        <v>7</v>
      </c>
      <c r="D32" s="7" t="s">
        <v>8</v>
      </c>
      <c r="E32" s="18" t="s">
        <v>277</v>
      </c>
      <c r="F32" s="18" t="s">
        <v>278</v>
      </c>
      <c r="G32" s="19" t="s">
        <v>279</v>
      </c>
      <c r="H32" s="18" t="s">
        <v>32</v>
      </c>
      <c r="I32" s="18" t="s">
        <v>280</v>
      </c>
      <c r="J32" s="18" t="s">
        <v>33</v>
      </c>
      <c r="K32" s="20" t="s">
        <v>63</v>
      </c>
      <c r="L32" s="20">
        <v>1501</v>
      </c>
      <c r="M32" s="20" t="s">
        <v>281</v>
      </c>
      <c r="N32" s="20" t="s">
        <v>30</v>
      </c>
      <c r="O32" s="20" t="s">
        <v>30</v>
      </c>
      <c r="P32" s="20" t="s">
        <v>30</v>
      </c>
      <c r="Q32" s="21">
        <v>46235</v>
      </c>
      <c r="R32" s="21">
        <v>46238</v>
      </c>
      <c r="S32" s="20" t="s">
        <v>52</v>
      </c>
      <c r="T32" s="18" t="s">
        <v>31</v>
      </c>
      <c r="U32" s="18" t="s">
        <v>30</v>
      </c>
    </row>
    <row r="33" spans="1:21" ht="33.6" customHeight="1" thickTop="1" thickBot="1">
      <c r="A33" s="18" t="str">
        <f t="shared" si="0"/>
        <v>agosto</v>
      </c>
      <c r="B33" s="18" t="s">
        <v>262</v>
      </c>
      <c r="C33" s="7" t="s">
        <v>7</v>
      </c>
      <c r="D33" s="7" t="s">
        <v>8</v>
      </c>
      <c r="E33" s="18" t="s">
        <v>282</v>
      </c>
      <c r="F33" s="18" t="s">
        <v>283</v>
      </c>
      <c r="G33" s="19" t="s">
        <v>284</v>
      </c>
      <c r="H33" s="18" t="s">
        <v>32</v>
      </c>
      <c r="I33" s="18" t="s">
        <v>285</v>
      </c>
      <c r="J33" s="18" t="s">
        <v>33</v>
      </c>
      <c r="K33" s="20" t="s">
        <v>39</v>
      </c>
      <c r="L33" s="20">
        <v>1502</v>
      </c>
      <c r="M33" s="20" t="s">
        <v>286</v>
      </c>
      <c r="N33" s="20" t="s">
        <v>30</v>
      </c>
      <c r="O33" s="20" t="s">
        <v>30</v>
      </c>
      <c r="P33" s="20" t="s">
        <v>30</v>
      </c>
      <c r="Q33" s="21">
        <v>46235</v>
      </c>
      <c r="R33" s="21">
        <v>46238</v>
      </c>
      <c r="S33" s="20" t="s">
        <v>52</v>
      </c>
      <c r="T33" s="18" t="s">
        <v>31</v>
      </c>
      <c r="U33" s="18" t="s">
        <v>30</v>
      </c>
    </row>
    <row r="34" spans="1:21" ht="33.6" customHeight="1" thickTop="1" thickBot="1">
      <c r="A34" s="18" t="str">
        <f t="shared" si="0"/>
        <v>agosto</v>
      </c>
      <c r="B34" s="18" t="s">
        <v>263</v>
      </c>
      <c r="C34" s="7" t="s">
        <v>7</v>
      </c>
      <c r="D34" s="7" t="s">
        <v>8</v>
      </c>
      <c r="E34" s="18" t="s">
        <v>287</v>
      </c>
      <c r="F34" s="18" t="s">
        <v>288</v>
      </c>
      <c r="G34" s="19" t="s">
        <v>289</v>
      </c>
      <c r="H34" s="18" t="s">
        <v>46</v>
      </c>
      <c r="I34" s="18" t="s">
        <v>290</v>
      </c>
      <c r="J34" s="18" t="s">
        <v>51</v>
      </c>
      <c r="K34" s="20" t="s">
        <v>39</v>
      </c>
      <c r="L34" s="20">
        <v>1502</v>
      </c>
      <c r="M34" s="20" t="s">
        <v>291</v>
      </c>
      <c r="N34" s="20" t="s">
        <v>30</v>
      </c>
      <c r="O34" s="20" t="s">
        <v>30</v>
      </c>
      <c r="P34" s="20" t="s">
        <v>30</v>
      </c>
      <c r="Q34" s="21">
        <v>46235</v>
      </c>
      <c r="R34" s="21">
        <v>46238</v>
      </c>
      <c r="S34" s="20" t="s">
        <v>35</v>
      </c>
      <c r="T34" s="18" t="s">
        <v>31</v>
      </c>
      <c r="U34" s="18" t="s">
        <v>30</v>
      </c>
    </row>
    <row r="35" spans="1:21" ht="33.6" customHeight="1" thickTop="1" thickBot="1">
      <c r="A35" s="18" t="str">
        <f t="shared" si="0"/>
        <v>agosto</v>
      </c>
      <c r="B35" s="18" t="s">
        <v>264</v>
      </c>
      <c r="C35" s="7" t="s">
        <v>9</v>
      </c>
      <c r="D35" s="7" t="s">
        <v>10</v>
      </c>
      <c r="E35" s="18" t="s">
        <v>292</v>
      </c>
      <c r="F35" s="18" t="s">
        <v>293</v>
      </c>
      <c r="G35" s="19" t="s">
        <v>294</v>
      </c>
      <c r="H35" s="18" t="s">
        <v>40</v>
      </c>
      <c r="I35" s="18" t="s">
        <v>295</v>
      </c>
      <c r="J35" s="18" t="s">
        <v>38</v>
      </c>
      <c r="K35" s="20" t="s">
        <v>43</v>
      </c>
      <c r="L35" s="20">
        <v>1502</v>
      </c>
      <c r="M35" s="20" t="s">
        <v>296</v>
      </c>
      <c r="N35" s="20">
        <v>24</v>
      </c>
      <c r="O35" s="20" t="s">
        <v>30</v>
      </c>
      <c r="P35" s="20" t="s">
        <v>30</v>
      </c>
      <c r="Q35" s="21">
        <v>46237</v>
      </c>
      <c r="R35" s="21">
        <v>46238</v>
      </c>
      <c r="S35" s="20" t="s">
        <v>41</v>
      </c>
      <c r="T35" s="18" t="s">
        <v>42</v>
      </c>
      <c r="U35" s="18" t="s">
        <v>1114</v>
      </c>
    </row>
    <row r="36" spans="1:21" ht="33.6" customHeight="1" thickTop="1" thickBot="1">
      <c r="A36" s="18" t="str">
        <f t="shared" si="0"/>
        <v>agosto</v>
      </c>
      <c r="B36" s="18" t="s">
        <v>265</v>
      </c>
      <c r="C36" s="7" t="s">
        <v>7</v>
      </c>
      <c r="D36" s="7" t="s">
        <v>8</v>
      </c>
      <c r="E36" s="18" t="s">
        <v>297</v>
      </c>
      <c r="F36" s="18" t="s">
        <v>298</v>
      </c>
      <c r="G36" s="19" t="s">
        <v>299</v>
      </c>
      <c r="H36" s="18" t="s">
        <v>32</v>
      </c>
      <c r="I36" s="18" t="s">
        <v>300</v>
      </c>
      <c r="J36" s="18" t="s">
        <v>33</v>
      </c>
      <c r="K36" s="20" t="s">
        <v>43</v>
      </c>
      <c r="L36" s="20">
        <v>1502</v>
      </c>
      <c r="M36" s="20" t="s">
        <v>301</v>
      </c>
      <c r="N36" s="20" t="s">
        <v>30</v>
      </c>
      <c r="O36" s="20" t="s">
        <v>30</v>
      </c>
      <c r="P36" s="20" t="s">
        <v>30</v>
      </c>
      <c r="Q36" s="21">
        <v>46237</v>
      </c>
      <c r="R36" s="21">
        <v>46238</v>
      </c>
      <c r="S36" s="20" t="s">
        <v>35</v>
      </c>
      <c r="T36" s="18" t="s">
        <v>31</v>
      </c>
      <c r="U36" s="18" t="s">
        <v>1113</v>
      </c>
    </row>
    <row r="37" spans="1:21" ht="33.6" customHeight="1" thickTop="1" thickBot="1">
      <c r="A37" s="18" t="str">
        <f t="shared" si="0"/>
        <v>agosto</v>
      </c>
      <c r="B37" s="18" t="s">
        <v>266</v>
      </c>
      <c r="E37" s="18" t="s">
        <v>302</v>
      </c>
      <c r="F37" s="18" t="s">
        <v>303</v>
      </c>
      <c r="G37" s="19" t="s">
        <v>304</v>
      </c>
      <c r="H37" s="18" t="s">
        <v>32</v>
      </c>
      <c r="I37" s="18" t="s">
        <v>305</v>
      </c>
      <c r="J37" s="18" t="s">
        <v>57</v>
      </c>
      <c r="K37" s="20" t="s">
        <v>34</v>
      </c>
      <c r="L37" s="20">
        <v>1502</v>
      </c>
      <c r="M37" s="20" t="s">
        <v>306</v>
      </c>
      <c r="N37" s="20" t="s">
        <v>30</v>
      </c>
      <c r="O37" s="20" t="s">
        <v>30</v>
      </c>
      <c r="P37" s="20" t="s">
        <v>30</v>
      </c>
      <c r="Q37" s="21">
        <v>46237</v>
      </c>
      <c r="R37" s="21">
        <v>46238</v>
      </c>
      <c r="S37" s="20" t="s">
        <v>56</v>
      </c>
      <c r="T37" s="18" t="s">
        <v>30</v>
      </c>
      <c r="U37" s="18" t="s">
        <v>30</v>
      </c>
    </row>
    <row r="38" spans="1:21" ht="33.6" customHeight="1" thickTop="1" thickBot="1">
      <c r="A38" s="18" t="str">
        <f t="shared" si="0"/>
        <v>agosto</v>
      </c>
      <c r="B38" s="18" t="s">
        <v>267</v>
      </c>
      <c r="C38" s="7" t="s">
        <v>7</v>
      </c>
      <c r="D38" s="7" t="s">
        <v>8</v>
      </c>
      <c r="E38" s="18" t="s">
        <v>307</v>
      </c>
      <c r="F38" s="18" t="s">
        <v>308</v>
      </c>
      <c r="G38" s="19" t="s">
        <v>309</v>
      </c>
      <c r="H38" s="18" t="s">
        <v>64</v>
      </c>
      <c r="I38" s="18" t="s">
        <v>310</v>
      </c>
      <c r="J38" s="18" t="s">
        <v>55</v>
      </c>
      <c r="K38" s="20" t="s">
        <v>43</v>
      </c>
      <c r="L38" s="20">
        <v>1502</v>
      </c>
      <c r="M38" s="20" t="s">
        <v>311</v>
      </c>
      <c r="N38" s="20">
        <v>35</v>
      </c>
      <c r="O38" s="20" t="s">
        <v>30</v>
      </c>
      <c r="P38" s="20" t="s">
        <v>30</v>
      </c>
      <c r="Q38" s="21">
        <v>46237</v>
      </c>
      <c r="R38" s="21">
        <v>46238</v>
      </c>
      <c r="S38" s="20" t="s">
        <v>49</v>
      </c>
      <c r="T38" s="18" t="s">
        <v>31</v>
      </c>
      <c r="U38" s="18" t="s">
        <v>1113</v>
      </c>
    </row>
    <row r="39" spans="1:21" ht="33.6" customHeight="1" thickTop="1" thickBot="1">
      <c r="A39" s="18" t="str">
        <f t="shared" si="0"/>
        <v>agosto</v>
      </c>
      <c r="B39" s="18" t="s">
        <v>268</v>
      </c>
      <c r="C39" s="7" t="s">
        <v>7</v>
      </c>
      <c r="D39" s="7" t="s">
        <v>8</v>
      </c>
      <c r="E39" s="18" t="s">
        <v>312</v>
      </c>
      <c r="F39" s="18" t="s">
        <v>313</v>
      </c>
      <c r="G39" s="19" t="s">
        <v>314</v>
      </c>
      <c r="H39" s="18" t="s">
        <v>46</v>
      </c>
      <c r="I39" s="18" t="s">
        <v>315</v>
      </c>
      <c r="J39" s="18" t="s">
        <v>51</v>
      </c>
      <c r="K39" s="20" t="s">
        <v>43</v>
      </c>
      <c r="L39" s="20">
        <v>1502</v>
      </c>
      <c r="M39" s="20" t="s">
        <v>316</v>
      </c>
      <c r="N39" s="20">
        <v>90</v>
      </c>
      <c r="O39" s="20" t="s">
        <v>30</v>
      </c>
      <c r="P39" s="20" t="s">
        <v>30</v>
      </c>
      <c r="Q39" s="21">
        <v>46237</v>
      </c>
      <c r="R39" s="21">
        <v>46238</v>
      </c>
      <c r="S39" s="20" t="s">
        <v>53</v>
      </c>
      <c r="T39" s="18" t="s">
        <v>31</v>
      </c>
      <c r="U39" s="18" t="s">
        <v>1113</v>
      </c>
    </row>
    <row r="40" spans="1:21" ht="33.6" customHeight="1" thickTop="1" thickBot="1">
      <c r="A40" s="18" t="str">
        <f t="shared" si="0"/>
        <v>agosto</v>
      </c>
      <c r="B40" s="18" t="s">
        <v>269</v>
      </c>
      <c r="C40" s="7" t="s">
        <v>7</v>
      </c>
      <c r="D40" s="7" t="s">
        <v>8</v>
      </c>
      <c r="E40" s="18" t="s">
        <v>317</v>
      </c>
      <c r="F40" s="18" t="s">
        <v>318</v>
      </c>
      <c r="G40" s="19" t="s">
        <v>319</v>
      </c>
      <c r="H40" s="18" t="s">
        <v>46</v>
      </c>
      <c r="I40" s="18" t="s">
        <v>100</v>
      </c>
      <c r="J40" s="18" t="s">
        <v>51</v>
      </c>
      <c r="K40" s="20" t="s">
        <v>34</v>
      </c>
      <c r="L40" s="20">
        <v>1502</v>
      </c>
      <c r="M40" s="20" t="s">
        <v>320</v>
      </c>
      <c r="N40" s="20" t="s">
        <v>30</v>
      </c>
      <c r="O40" s="20" t="s">
        <v>30</v>
      </c>
      <c r="P40" s="20" t="s">
        <v>30</v>
      </c>
      <c r="Q40" s="21">
        <v>46237</v>
      </c>
      <c r="R40" s="21">
        <v>46238</v>
      </c>
      <c r="S40" s="20" t="s">
        <v>321</v>
      </c>
      <c r="T40" s="18" t="s">
        <v>31</v>
      </c>
      <c r="U40" s="18" t="s">
        <v>30</v>
      </c>
    </row>
    <row r="41" spans="1:21" ht="33.6" customHeight="1" thickTop="1" thickBot="1">
      <c r="A41" s="18" t="str">
        <f t="shared" si="0"/>
        <v>agosto</v>
      </c>
      <c r="B41" s="18" t="s">
        <v>270</v>
      </c>
      <c r="C41" s="7" t="s">
        <v>7</v>
      </c>
      <c r="D41" s="7" t="s">
        <v>8</v>
      </c>
      <c r="E41" s="18" t="s">
        <v>322</v>
      </c>
      <c r="F41" s="18" t="s">
        <v>323</v>
      </c>
      <c r="G41" s="19" t="s">
        <v>324</v>
      </c>
      <c r="H41" s="18" t="s">
        <v>46</v>
      </c>
      <c r="I41" s="18" t="s">
        <v>325</v>
      </c>
      <c r="J41" s="18" t="s">
        <v>48</v>
      </c>
      <c r="K41" s="20" t="s">
        <v>39</v>
      </c>
      <c r="L41" s="20">
        <v>1502</v>
      </c>
      <c r="M41" s="20" t="s">
        <v>326</v>
      </c>
      <c r="N41" s="20" t="s">
        <v>30</v>
      </c>
      <c r="O41" s="20" t="s">
        <v>30</v>
      </c>
      <c r="P41" s="20" t="s">
        <v>30</v>
      </c>
      <c r="Q41" s="21">
        <v>46237</v>
      </c>
      <c r="R41" s="21">
        <v>46238</v>
      </c>
      <c r="S41" s="20" t="s">
        <v>35</v>
      </c>
      <c r="T41" s="18" t="s">
        <v>31</v>
      </c>
      <c r="U41" s="18" t="s">
        <v>30</v>
      </c>
    </row>
    <row r="42" spans="1:21" ht="33.6" customHeight="1" thickTop="1" thickBot="1">
      <c r="A42" s="18" t="str">
        <f t="shared" si="0"/>
        <v>agosto</v>
      </c>
      <c r="B42" s="18" t="s">
        <v>271</v>
      </c>
      <c r="C42" s="7" t="s">
        <v>7</v>
      </c>
      <c r="D42" s="7" t="s">
        <v>8</v>
      </c>
      <c r="E42" s="18" t="s">
        <v>327</v>
      </c>
      <c r="F42" s="18" t="s">
        <v>328</v>
      </c>
      <c r="G42" s="19" t="s">
        <v>329</v>
      </c>
      <c r="H42" s="18" t="s">
        <v>46</v>
      </c>
      <c r="I42" s="18" t="s">
        <v>330</v>
      </c>
      <c r="J42" s="18" t="s">
        <v>51</v>
      </c>
      <c r="K42" s="20" t="s">
        <v>43</v>
      </c>
      <c r="L42" s="20">
        <v>1502</v>
      </c>
      <c r="M42" s="20" t="s">
        <v>331</v>
      </c>
      <c r="N42" s="20">
        <v>60</v>
      </c>
      <c r="O42" s="20" t="s">
        <v>30</v>
      </c>
      <c r="P42" s="20" t="s">
        <v>30</v>
      </c>
      <c r="Q42" s="21">
        <v>46237</v>
      </c>
      <c r="R42" s="21">
        <v>46238</v>
      </c>
      <c r="S42" s="20" t="s">
        <v>53</v>
      </c>
      <c r="T42" s="18" t="s">
        <v>31</v>
      </c>
      <c r="U42" s="18" t="s">
        <v>1113</v>
      </c>
    </row>
    <row r="43" spans="1:21" ht="33.6" customHeight="1" thickTop="1" thickBot="1">
      <c r="A43" s="18" t="str">
        <f t="shared" si="0"/>
        <v>agosto</v>
      </c>
      <c r="B43" s="18" t="s">
        <v>178</v>
      </c>
      <c r="C43" s="7" t="s">
        <v>7</v>
      </c>
      <c r="D43" s="7" t="s">
        <v>8</v>
      </c>
      <c r="E43" s="18" t="s">
        <v>203</v>
      </c>
      <c r="F43" s="18" t="s">
        <v>204</v>
      </c>
      <c r="G43" s="19" t="s">
        <v>205</v>
      </c>
      <c r="H43" s="18" t="s">
        <v>37</v>
      </c>
      <c r="I43" s="18" t="s">
        <v>206</v>
      </c>
      <c r="J43" s="18" t="s">
        <v>60</v>
      </c>
      <c r="K43" s="20" t="s">
        <v>43</v>
      </c>
      <c r="L43" s="20">
        <v>1502</v>
      </c>
      <c r="M43" s="20" t="s">
        <v>332</v>
      </c>
      <c r="N43" s="20" t="s">
        <v>333</v>
      </c>
      <c r="O43" s="20" t="s">
        <v>30</v>
      </c>
      <c r="P43" s="20">
        <v>7</v>
      </c>
      <c r="Q43" s="21">
        <v>46234</v>
      </c>
      <c r="R43" s="21">
        <v>46238</v>
      </c>
      <c r="S43" s="20" t="s">
        <v>49</v>
      </c>
      <c r="T43" s="18" t="s">
        <v>31</v>
      </c>
      <c r="U43" s="18" t="s">
        <v>1113</v>
      </c>
    </row>
    <row r="44" spans="1:21" ht="33.6" customHeight="1" thickTop="1" thickBot="1">
      <c r="A44" s="18" t="str">
        <f t="shared" si="0"/>
        <v>agosto</v>
      </c>
      <c r="B44" s="18" t="s">
        <v>177</v>
      </c>
      <c r="C44" s="7" t="s">
        <v>7</v>
      </c>
      <c r="D44" s="7" t="s">
        <v>8</v>
      </c>
      <c r="E44" s="18" t="s">
        <v>198</v>
      </c>
      <c r="F44" s="18" t="s">
        <v>199</v>
      </c>
      <c r="G44" s="19" t="s">
        <v>200</v>
      </c>
      <c r="H44" s="18" t="s">
        <v>37</v>
      </c>
      <c r="I44" s="18" t="s">
        <v>201</v>
      </c>
      <c r="J44" s="18" t="s">
        <v>59</v>
      </c>
      <c r="K44" s="20" t="s">
        <v>39</v>
      </c>
      <c r="L44" s="20">
        <v>1502</v>
      </c>
      <c r="M44" s="20" t="s">
        <v>334</v>
      </c>
      <c r="N44" s="20" t="s">
        <v>30</v>
      </c>
      <c r="O44" s="20" t="s">
        <v>30</v>
      </c>
      <c r="P44" s="20" t="s">
        <v>30</v>
      </c>
      <c r="Q44" s="21">
        <v>46234</v>
      </c>
      <c r="R44" s="21">
        <v>46238</v>
      </c>
      <c r="S44" s="20" t="s">
        <v>52</v>
      </c>
      <c r="T44" s="18" t="s">
        <v>31</v>
      </c>
      <c r="U44" s="18" t="s">
        <v>30</v>
      </c>
    </row>
    <row r="45" spans="1:21" ht="33.6" customHeight="1" thickTop="1" thickBot="1">
      <c r="A45" s="18" t="str">
        <f t="shared" si="0"/>
        <v>agosto</v>
      </c>
      <c r="B45" s="18" t="s">
        <v>78</v>
      </c>
      <c r="C45" s="7" t="s">
        <v>7</v>
      </c>
      <c r="D45" s="7" t="s">
        <v>8</v>
      </c>
      <c r="E45" s="18" t="s">
        <v>79</v>
      </c>
      <c r="F45" s="18" t="s">
        <v>80</v>
      </c>
      <c r="G45" s="19" t="s">
        <v>81</v>
      </c>
      <c r="H45" s="18" t="s">
        <v>46</v>
      </c>
      <c r="I45" s="18" t="s">
        <v>100</v>
      </c>
      <c r="J45" s="18" t="s">
        <v>51</v>
      </c>
      <c r="K45" s="20" t="s">
        <v>34</v>
      </c>
      <c r="L45" s="20">
        <v>1502</v>
      </c>
      <c r="M45" s="20" t="s">
        <v>335</v>
      </c>
      <c r="N45" s="20" t="s">
        <v>30</v>
      </c>
      <c r="O45" s="20" t="s">
        <v>30</v>
      </c>
      <c r="P45" s="20" t="s">
        <v>30</v>
      </c>
      <c r="Q45" s="21">
        <v>46237</v>
      </c>
      <c r="R45" s="21">
        <v>46238</v>
      </c>
      <c r="S45" s="20" t="s">
        <v>49</v>
      </c>
      <c r="T45" s="18" t="s">
        <v>31</v>
      </c>
      <c r="U45" s="18" t="s">
        <v>30</v>
      </c>
    </row>
    <row r="46" spans="1:21" ht="33.6" customHeight="1" thickTop="1" thickBot="1">
      <c r="A46" s="18" t="str">
        <f t="shared" si="0"/>
        <v>agosto</v>
      </c>
      <c r="B46" s="18" t="s">
        <v>272</v>
      </c>
      <c r="C46" s="7" t="s">
        <v>9</v>
      </c>
      <c r="D46" s="7" t="s">
        <v>10</v>
      </c>
      <c r="E46" s="18" t="s">
        <v>336</v>
      </c>
      <c r="F46" s="18" t="s">
        <v>337</v>
      </c>
      <c r="G46" s="19" t="s">
        <v>338</v>
      </c>
      <c r="H46" s="18" t="s">
        <v>40</v>
      </c>
      <c r="I46" s="18" t="s">
        <v>65</v>
      </c>
      <c r="J46" s="18" t="s">
        <v>38</v>
      </c>
      <c r="K46" s="20" t="s">
        <v>43</v>
      </c>
      <c r="L46" s="20">
        <v>1502</v>
      </c>
      <c r="M46" s="20" t="s">
        <v>339</v>
      </c>
      <c r="N46" s="20">
        <v>33</v>
      </c>
      <c r="O46" s="20" t="s">
        <v>30</v>
      </c>
      <c r="P46" s="20" t="s">
        <v>30</v>
      </c>
      <c r="Q46" s="21">
        <v>46238</v>
      </c>
      <c r="R46" s="21">
        <v>46238</v>
      </c>
      <c r="S46" s="20" t="s">
        <v>41</v>
      </c>
      <c r="T46" s="18" t="s">
        <v>42</v>
      </c>
      <c r="U46" s="18" t="s">
        <v>1113</v>
      </c>
    </row>
    <row r="47" spans="1:21" ht="33.6" customHeight="1" thickTop="1" thickBot="1">
      <c r="A47" s="18" t="str">
        <f t="shared" si="0"/>
        <v>agosto</v>
      </c>
      <c r="B47" s="18" t="s">
        <v>273</v>
      </c>
      <c r="C47" s="7" t="s">
        <v>7</v>
      </c>
      <c r="D47" s="7" t="s">
        <v>8</v>
      </c>
      <c r="E47" s="18" t="s">
        <v>340</v>
      </c>
      <c r="F47" s="18" t="s">
        <v>341</v>
      </c>
      <c r="G47" s="19" t="s">
        <v>342</v>
      </c>
      <c r="H47" s="18" t="s">
        <v>37</v>
      </c>
      <c r="I47" s="18" t="s">
        <v>111</v>
      </c>
      <c r="J47" s="18" t="s">
        <v>59</v>
      </c>
      <c r="K47" s="20" t="s">
        <v>43</v>
      </c>
      <c r="L47" s="20">
        <v>1502</v>
      </c>
      <c r="M47" s="20" t="s">
        <v>343</v>
      </c>
      <c r="N47" s="20" t="s">
        <v>30</v>
      </c>
      <c r="O47" s="20">
        <v>30</v>
      </c>
      <c r="P47" s="20">
        <v>2</v>
      </c>
      <c r="Q47" s="21">
        <v>46238</v>
      </c>
      <c r="R47" s="21">
        <v>46238</v>
      </c>
      <c r="S47" s="20" t="s">
        <v>52</v>
      </c>
      <c r="T47" s="18" t="s">
        <v>31</v>
      </c>
      <c r="U47" s="18" t="s">
        <v>1113</v>
      </c>
    </row>
    <row r="48" spans="1:21" ht="33.6" customHeight="1" thickTop="1" thickBot="1">
      <c r="A48" s="18" t="str">
        <f t="shared" si="0"/>
        <v>agosto</v>
      </c>
      <c r="B48" s="18" t="s">
        <v>177</v>
      </c>
      <c r="C48" s="7" t="s">
        <v>7</v>
      </c>
      <c r="D48" s="7" t="s">
        <v>8</v>
      </c>
      <c r="E48" s="18" t="s">
        <v>198</v>
      </c>
      <c r="F48" s="18" t="s">
        <v>199</v>
      </c>
      <c r="G48" s="19" t="s">
        <v>200</v>
      </c>
      <c r="H48" s="18" t="s">
        <v>37</v>
      </c>
      <c r="I48" s="18" t="s">
        <v>201</v>
      </c>
      <c r="J48" s="18" t="s">
        <v>59</v>
      </c>
      <c r="K48" s="20" t="s">
        <v>43</v>
      </c>
      <c r="L48" s="20">
        <v>1502</v>
      </c>
      <c r="M48" s="20" t="s">
        <v>344</v>
      </c>
      <c r="N48" s="20">
        <v>40</v>
      </c>
      <c r="O48" s="20" t="s">
        <v>30</v>
      </c>
      <c r="P48" s="20" t="s">
        <v>30</v>
      </c>
      <c r="Q48" s="21">
        <v>46234</v>
      </c>
      <c r="R48" s="21">
        <v>46238</v>
      </c>
      <c r="S48" s="20" t="s">
        <v>52</v>
      </c>
      <c r="T48" s="18" t="s">
        <v>31</v>
      </c>
      <c r="U48" s="18" t="s">
        <v>1114</v>
      </c>
    </row>
    <row r="49" spans="1:21" ht="33.6" customHeight="1" thickTop="1" thickBot="1">
      <c r="A49" s="18" t="str">
        <f t="shared" si="0"/>
        <v>agosto</v>
      </c>
      <c r="B49" s="18" t="s">
        <v>274</v>
      </c>
      <c r="E49" s="18" t="s">
        <v>345</v>
      </c>
      <c r="F49" s="18" t="s">
        <v>346</v>
      </c>
      <c r="G49" s="19" t="s">
        <v>347</v>
      </c>
      <c r="H49" s="18" t="s">
        <v>32</v>
      </c>
      <c r="I49" s="18" t="s">
        <v>348</v>
      </c>
      <c r="J49" s="18" t="s">
        <v>59</v>
      </c>
      <c r="K49" s="20" t="s">
        <v>34</v>
      </c>
      <c r="L49" s="20">
        <v>1502</v>
      </c>
      <c r="M49" s="20" t="s">
        <v>349</v>
      </c>
      <c r="N49" s="20" t="s">
        <v>30</v>
      </c>
      <c r="O49" s="20" t="s">
        <v>30</v>
      </c>
      <c r="P49" s="20" t="s">
        <v>30</v>
      </c>
      <c r="Q49" s="21">
        <v>46238</v>
      </c>
      <c r="R49" s="21">
        <v>46238</v>
      </c>
      <c r="S49" s="20" t="s">
        <v>56</v>
      </c>
      <c r="T49" s="18" t="s">
        <v>30</v>
      </c>
      <c r="U49" s="18" t="s">
        <v>30</v>
      </c>
    </row>
    <row r="50" spans="1:21" ht="33.6" customHeight="1" thickTop="1" thickBot="1">
      <c r="A50" s="18" t="str">
        <f t="shared" si="0"/>
        <v>agosto</v>
      </c>
      <c r="B50" s="18" t="s">
        <v>275</v>
      </c>
      <c r="E50" s="18" t="s">
        <v>350</v>
      </c>
      <c r="F50" s="18" t="s">
        <v>351</v>
      </c>
      <c r="G50" s="19" t="s">
        <v>352</v>
      </c>
      <c r="H50" s="18" t="s">
        <v>37</v>
      </c>
      <c r="I50" s="18" t="s">
        <v>353</v>
      </c>
      <c r="J50" s="18" t="s">
        <v>60</v>
      </c>
      <c r="K50" s="20" t="s">
        <v>34</v>
      </c>
      <c r="L50" s="20">
        <v>1502</v>
      </c>
      <c r="M50" s="20" t="s">
        <v>354</v>
      </c>
      <c r="N50" s="20" t="s">
        <v>30</v>
      </c>
      <c r="O50" s="20" t="s">
        <v>30</v>
      </c>
      <c r="P50" s="20" t="s">
        <v>30</v>
      </c>
      <c r="Q50" s="21">
        <v>46238</v>
      </c>
      <c r="R50" s="21">
        <v>46238</v>
      </c>
      <c r="S50" s="20" t="s">
        <v>56</v>
      </c>
      <c r="T50" s="18" t="s">
        <v>30</v>
      </c>
      <c r="U50" s="18" t="s">
        <v>30</v>
      </c>
    </row>
    <row r="51" spans="1:21" ht="33.6" customHeight="1" thickTop="1" thickBot="1">
      <c r="A51" s="18" t="str">
        <f t="shared" si="0"/>
        <v>agosto</v>
      </c>
      <c r="B51" s="18" t="s">
        <v>276</v>
      </c>
      <c r="E51" s="18" t="s">
        <v>355</v>
      </c>
      <c r="F51" s="18" t="s">
        <v>356</v>
      </c>
      <c r="G51" s="19" t="s">
        <v>357</v>
      </c>
      <c r="H51" s="18" t="s">
        <v>32</v>
      </c>
      <c r="I51" s="18" t="s">
        <v>348</v>
      </c>
      <c r="J51" s="18" t="s">
        <v>59</v>
      </c>
      <c r="K51" s="20" t="s">
        <v>34</v>
      </c>
      <c r="L51" s="20">
        <v>1502</v>
      </c>
      <c r="M51" s="20" t="s">
        <v>349</v>
      </c>
      <c r="N51" s="20" t="s">
        <v>30</v>
      </c>
      <c r="O51" s="20" t="s">
        <v>30</v>
      </c>
      <c r="P51" s="20" t="s">
        <v>30</v>
      </c>
      <c r="Q51" s="21">
        <v>46238</v>
      </c>
      <c r="R51" s="21">
        <v>46238</v>
      </c>
      <c r="S51" s="20" t="s">
        <v>56</v>
      </c>
      <c r="T51" s="18" t="s">
        <v>30</v>
      </c>
      <c r="U51" s="18" t="s">
        <v>30</v>
      </c>
    </row>
    <row r="52" spans="1:21" ht="33.6" customHeight="1" thickTop="1" thickBot="1">
      <c r="A52" s="18" t="str">
        <f t="shared" si="0"/>
        <v>agosto</v>
      </c>
      <c r="B52" s="18" t="s">
        <v>92</v>
      </c>
      <c r="C52" s="7" t="s">
        <v>7</v>
      </c>
      <c r="D52" s="7" t="s">
        <v>8</v>
      </c>
      <c r="E52" s="18" t="s">
        <v>96</v>
      </c>
      <c r="F52" s="18" t="s">
        <v>97</v>
      </c>
      <c r="G52" s="19" t="s">
        <v>98</v>
      </c>
      <c r="H52" s="18" t="s">
        <v>46</v>
      </c>
      <c r="I52" s="18" t="s">
        <v>99</v>
      </c>
      <c r="J52" s="18" t="s">
        <v>33</v>
      </c>
      <c r="K52" s="20" t="s">
        <v>43</v>
      </c>
      <c r="L52" s="20">
        <v>1502</v>
      </c>
      <c r="M52" s="20" t="s">
        <v>372</v>
      </c>
      <c r="N52" s="20" t="s">
        <v>30</v>
      </c>
      <c r="O52" s="20" t="s">
        <v>30</v>
      </c>
      <c r="P52" s="20" t="s">
        <v>30</v>
      </c>
      <c r="Q52" s="21">
        <v>46232</v>
      </c>
      <c r="R52" s="21">
        <v>46239</v>
      </c>
      <c r="S52" s="20" t="s">
        <v>49</v>
      </c>
      <c r="T52" s="18" t="s">
        <v>31</v>
      </c>
      <c r="U52" s="18" t="s">
        <v>1113</v>
      </c>
    </row>
    <row r="53" spans="1:21" ht="33.6" customHeight="1" thickTop="1" thickBot="1">
      <c r="A53" s="18" t="str">
        <f t="shared" si="0"/>
        <v>agosto</v>
      </c>
      <c r="B53" s="18" t="s">
        <v>358</v>
      </c>
      <c r="C53" s="7" t="s">
        <v>9</v>
      </c>
      <c r="D53" s="7" t="s">
        <v>10</v>
      </c>
      <c r="E53" s="18" t="s">
        <v>373</v>
      </c>
      <c r="F53" s="18" t="s">
        <v>374</v>
      </c>
      <c r="G53" s="19" t="s">
        <v>375</v>
      </c>
      <c r="H53" s="18" t="s">
        <v>32</v>
      </c>
      <c r="I53" s="18" t="s">
        <v>376</v>
      </c>
      <c r="J53" s="18" t="s">
        <v>57</v>
      </c>
      <c r="K53" s="20" t="s">
        <v>63</v>
      </c>
      <c r="L53" s="20">
        <v>1502</v>
      </c>
      <c r="M53" s="20" t="s">
        <v>377</v>
      </c>
      <c r="N53" s="20" t="s">
        <v>30</v>
      </c>
      <c r="O53" s="20" t="s">
        <v>30</v>
      </c>
      <c r="P53" s="20" t="s">
        <v>30</v>
      </c>
      <c r="Q53" s="21">
        <v>46237</v>
      </c>
      <c r="R53" s="21">
        <v>46239</v>
      </c>
      <c r="S53" s="20" t="s">
        <v>41</v>
      </c>
      <c r="T53" s="18" t="s">
        <v>42</v>
      </c>
      <c r="U53" s="18" t="s">
        <v>30</v>
      </c>
    </row>
    <row r="54" spans="1:21" ht="33.6" customHeight="1" thickTop="1" thickBot="1">
      <c r="A54" s="18" t="str">
        <f t="shared" si="0"/>
        <v>agosto</v>
      </c>
      <c r="B54" s="18" t="s">
        <v>359</v>
      </c>
      <c r="C54" s="7" t="s">
        <v>7</v>
      </c>
      <c r="D54" s="7" t="s">
        <v>8</v>
      </c>
      <c r="E54" s="18" t="s">
        <v>378</v>
      </c>
      <c r="F54" s="18" t="s">
        <v>379</v>
      </c>
      <c r="G54" s="19" t="s">
        <v>380</v>
      </c>
      <c r="H54" s="18" t="s">
        <v>32</v>
      </c>
      <c r="I54" s="18" t="s">
        <v>381</v>
      </c>
      <c r="J54" s="18" t="s">
        <v>51</v>
      </c>
      <c r="K54" s="20" t="s">
        <v>34</v>
      </c>
      <c r="L54" s="20">
        <v>1502</v>
      </c>
      <c r="M54" s="20" t="s">
        <v>382</v>
      </c>
      <c r="N54" s="20" t="s">
        <v>30</v>
      </c>
      <c r="O54" s="20" t="s">
        <v>30</v>
      </c>
      <c r="P54" s="20" t="s">
        <v>30</v>
      </c>
      <c r="Q54" s="21">
        <v>46237</v>
      </c>
      <c r="R54" s="21">
        <v>46239</v>
      </c>
      <c r="S54" s="20" t="s">
        <v>53</v>
      </c>
      <c r="T54" s="18" t="s">
        <v>31</v>
      </c>
      <c r="U54" s="18" t="s">
        <v>30</v>
      </c>
    </row>
    <row r="55" spans="1:21" ht="33.6" customHeight="1" thickTop="1" thickBot="1">
      <c r="A55" s="18" t="str">
        <f t="shared" si="0"/>
        <v>agosto</v>
      </c>
      <c r="B55" s="18" t="s">
        <v>87</v>
      </c>
      <c r="C55" s="7" t="s">
        <v>7</v>
      </c>
      <c r="D55" s="7" t="s">
        <v>8</v>
      </c>
      <c r="E55" s="18" t="s">
        <v>88</v>
      </c>
      <c r="F55" s="18" t="s">
        <v>89</v>
      </c>
      <c r="G55" s="19" t="s">
        <v>90</v>
      </c>
      <c r="H55" s="18" t="s">
        <v>40</v>
      </c>
      <c r="I55" s="18" t="s">
        <v>383</v>
      </c>
      <c r="J55" s="18" t="s">
        <v>45</v>
      </c>
      <c r="K55" s="20" t="s">
        <v>43</v>
      </c>
      <c r="L55" s="20">
        <v>1502</v>
      </c>
      <c r="M55" s="20" t="s">
        <v>384</v>
      </c>
      <c r="N55" s="20">
        <v>80</v>
      </c>
      <c r="O55" s="20" t="s">
        <v>30</v>
      </c>
      <c r="P55" s="20" t="s">
        <v>30</v>
      </c>
      <c r="Q55" s="21">
        <v>46238</v>
      </c>
      <c r="R55" s="21">
        <v>46239</v>
      </c>
      <c r="S55" s="20" t="s">
        <v>35</v>
      </c>
      <c r="T55" s="18" t="s">
        <v>31</v>
      </c>
      <c r="U55" s="18" t="s">
        <v>1113</v>
      </c>
    </row>
    <row r="56" spans="1:21" ht="33.6" customHeight="1" thickTop="1" thickBot="1">
      <c r="A56" s="18" t="str">
        <f t="shared" si="0"/>
        <v>agosto</v>
      </c>
      <c r="B56" s="18" t="s">
        <v>360</v>
      </c>
      <c r="C56" s="7" t="s">
        <v>7</v>
      </c>
      <c r="D56" s="7" t="s">
        <v>8</v>
      </c>
      <c r="E56" s="18" t="s">
        <v>385</v>
      </c>
      <c r="F56" s="18" t="s">
        <v>386</v>
      </c>
      <c r="G56" s="19" t="s">
        <v>387</v>
      </c>
      <c r="H56" s="18" t="s">
        <v>46</v>
      </c>
      <c r="I56" s="18" t="s">
        <v>58</v>
      </c>
      <c r="J56" s="18" t="s">
        <v>51</v>
      </c>
      <c r="K56" s="20" t="s">
        <v>43</v>
      </c>
      <c r="L56" s="20">
        <v>1502</v>
      </c>
      <c r="M56" s="20" t="s">
        <v>388</v>
      </c>
      <c r="N56" s="20">
        <v>25</v>
      </c>
      <c r="O56" s="20" t="s">
        <v>30</v>
      </c>
      <c r="P56" s="20" t="s">
        <v>30</v>
      </c>
      <c r="Q56" s="21">
        <v>46238</v>
      </c>
      <c r="R56" s="21">
        <v>46239</v>
      </c>
      <c r="S56" s="20" t="s">
        <v>53</v>
      </c>
      <c r="T56" s="18" t="s">
        <v>31</v>
      </c>
      <c r="U56" s="18" t="s">
        <v>1113</v>
      </c>
    </row>
    <row r="57" spans="1:21" ht="33.6" customHeight="1" thickTop="1" thickBot="1">
      <c r="A57" s="18" t="str">
        <f t="shared" si="0"/>
        <v>agosto</v>
      </c>
      <c r="B57" s="18" t="s">
        <v>262</v>
      </c>
      <c r="C57" s="7" t="s">
        <v>7</v>
      </c>
      <c r="D57" s="7" t="s">
        <v>8</v>
      </c>
      <c r="E57" s="18" t="s">
        <v>282</v>
      </c>
      <c r="F57" s="18" t="s">
        <v>283</v>
      </c>
      <c r="G57" s="19" t="s">
        <v>284</v>
      </c>
      <c r="H57" s="18" t="s">
        <v>32</v>
      </c>
      <c r="I57" s="18" t="s">
        <v>285</v>
      </c>
      <c r="J57" s="18" t="s">
        <v>33</v>
      </c>
      <c r="K57" s="20" t="s">
        <v>43</v>
      </c>
      <c r="L57" s="20">
        <v>1502</v>
      </c>
      <c r="M57" s="20" t="s">
        <v>389</v>
      </c>
      <c r="N57" s="20" t="s">
        <v>30</v>
      </c>
      <c r="O57" s="20" t="s">
        <v>30</v>
      </c>
      <c r="P57" s="20" t="s">
        <v>30</v>
      </c>
      <c r="Q57" s="21">
        <v>46235</v>
      </c>
      <c r="R57" s="21">
        <v>46239</v>
      </c>
      <c r="S57" s="20" t="s">
        <v>49</v>
      </c>
      <c r="T57" s="18" t="s">
        <v>31</v>
      </c>
      <c r="U57" s="18" t="s">
        <v>1113</v>
      </c>
    </row>
    <row r="58" spans="1:21" ht="33.6" customHeight="1" thickTop="1" thickBot="1">
      <c r="A58" s="18" t="str">
        <f t="shared" si="0"/>
        <v>agosto</v>
      </c>
      <c r="B58" s="18" t="s">
        <v>361</v>
      </c>
      <c r="C58" s="7" t="s">
        <v>9</v>
      </c>
      <c r="D58" s="7" t="s">
        <v>10</v>
      </c>
      <c r="E58" s="18" t="s">
        <v>390</v>
      </c>
      <c r="F58" s="18" t="s">
        <v>391</v>
      </c>
      <c r="G58" s="19" t="s">
        <v>392</v>
      </c>
      <c r="H58" s="18" t="s">
        <v>32</v>
      </c>
      <c r="I58" s="18" t="s">
        <v>393</v>
      </c>
      <c r="J58" s="18" t="s">
        <v>57</v>
      </c>
      <c r="K58" s="20" t="s">
        <v>34</v>
      </c>
      <c r="L58" s="20">
        <v>1502</v>
      </c>
      <c r="M58" s="20" t="s">
        <v>394</v>
      </c>
      <c r="N58" s="20" t="s">
        <v>30</v>
      </c>
      <c r="O58" s="20" t="s">
        <v>30</v>
      </c>
      <c r="P58" s="20" t="s">
        <v>30</v>
      </c>
      <c r="Q58" s="21">
        <v>46238</v>
      </c>
      <c r="R58" s="21">
        <v>46239</v>
      </c>
      <c r="S58" s="20" t="s">
        <v>41</v>
      </c>
      <c r="T58" s="18" t="s">
        <v>42</v>
      </c>
      <c r="U58" s="18" t="s">
        <v>30</v>
      </c>
    </row>
    <row r="59" spans="1:21" ht="33.6" customHeight="1" thickTop="1" thickBot="1">
      <c r="A59" s="18" t="str">
        <f t="shared" si="0"/>
        <v>agosto</v>
      </c>
      <c r="B59" s="18" t="s">
        <v>362</v>
      </c>
      <c r="C59" s="7" t="s">
        <v>7</v>
      </c>
      <c r="D59" s="7" t="s">
        <v>8</v>
      </c>
      <c r="E59" s="18" t="s">
        <v>395</v>
      </c>
      <c r="F59" s="18" t="s">
        <v>396</v>
      </c>
      <c r="G59" s="19" t="s">
        <v>397</v>
      </c>
      <c r="H59" s="18" t="s">
        <v>40</v>
      </c>
      <c r="I59" s="18" t="s">
        <v>398</v>
      </c>
      <c r="J59" s="18" t="s">
        <v>38</v>
      </c>
      <c r="K59" s="20" t="s">
        <v>43</v>
      </c>
      <c r="L59" s="20">
        <v>1502</v>
      </c>
      <c r="M59" s="20" t="s">
        <v>399</v>
      </c>
      <c r="N59" s="20">
        <v>40</v>
      </c>
      <c r="O59" s="20" t="s">
        <v>30</v>
      </c>
      <c r="P59" s="20" t="s">
        <v>30</v>
      </c>
      <c r="Q59" s="21">
        <v>46238</v>
      </c>
      <c r="R59" s="21">
        <v>46239</v>
      </c>
      <c r="S59" s="20" t="s">
        <v>52</v>
      </c>
      <c r="T59" s="18" t="s">
        <v>31</v>
      </c>
      <c r="U59" s="18" t="s">
        <v>1113</v>
      </c>
    </row>
    <row r="60" spans="1:21" ht="33.6" customHeight="1" thickTop="1" thickBot="1">
      <c r="A60" s="18" t="str">
        <f t="shared" si="0"/>
        <v>agosto</v>
      </c>
      <c r="B60" s="18" t="s">
        <v>363</v>
      </c>
      <c r="C60" s="7" t="s">
        <v>7</v>
      </c>
      <c r="D60" s="7" t="s">
        <v>8</v>
      </c>
      <c r="E60" s="18" t="s">
        <v>400</v>
      </c>
      <c r="F60" s="18" t="s">
        <v>401</v>
      </c>
      <c r="G60" s="19" t="s">
        <v>402</v>
      </c>
      <c r="H60" s="18" t="s">
        <v>64</v>
      </c>
      <c r="I60" s="18" t="s">
        <v>403</v>
      </c>
      <c r="J60" s="18" t="s">
        <v>55</v>
      </c>
      <c r="K60" s="20" t="s">
        <v>39</v>
      </c>
      <c r="L60" s="20">
        <v>1502</v>
      </c>
      <c r="M60" s="20" t="s">
        <v>404</v>
      </c>
      <c r="N60" s="20" t="s">
        <v>30</v>
      </c>
      <c r="O60" s="20" t="s">
        <v>30</v>
      </c>
      <c r="P60" s="20" t="s">
        <v>30</v>
      </c>
      <c r="Q60" s="21">
        <v>46238</v>
      </c>
      <c r="R60" s="21">
        <v>46239</v>
      </c>
      <c r="S60" s="20" t="s">
        <v>53</v>
      </c>
      <c r="T60" s="18" t="s">
        <v>31</v>
      </c>
      <c r="U60" s="18" t="s">
        <v>30</v>
      </c>
    </row>
    <row r="61" spans="1:21" ht="33.6" customHeight="1" thickTop="1" thickBot="1">
      <c r="A61" s="18" t="str">
        <f t="shared" si="0"/>
        <v>agosto</v>
      </c>
      <c r="B61" s="18" t="s">
        <v>364</v>
      </c>
      <c r="C61" s="7" t="s">
        <v>7</v>
      </c>
      <c r="D61" s="7" t="s">
        <v>8</v>
      </c>
      <c r="E61" s="18" t="s">
        <v>405</v>
      </c>
      <c r="F61" s="18" t="s">
        <v>406</v>
      </c>
      <c r="G61" s="19" t="s">
        <v>407</v>
      </c>
      <c r="H61" s="18" t="s">
        <v>40</v>
      </c>
      <c r="I61" s="18" t="s">
        <v>408</v>
      </c>
      <c r="J61" s="18" t="s">
        <v>45</v>
      </c>
      <c r="K61" s="20" t="s">
        <v>43</v>
      </c>
      <c r="L61" s="20">
        <v>1502</v>
      </c>
      <c r="M61" s="20" t="s">
        <v>409</v>
      </c>
      <c r="N61" s="20">
        <v>100</v>
      </c>
      <c r="O61" s="20" t="s">
        <v>30</v>
      </c>
      <c r="P61" s="20" t="s">
        <v>30</v>
      </c>
      <c r="Q61" s="21">
        <v>46238</v>
      </c>
      <c r="R61" s="21">
        <v>46239</v>
      </c>
      <c r="S61" s="20" t="s">
        <v>35</v>
      </c>
      <c r="T61" s="18" t="s">
        <v>31</v>
      </c>
      <c r="U61" s="18" t="s">
        <v>1113</v>
      </c>
    </row>
    <row r="62" spans="1:21" ht="33.6" customHeight="1" thickTop="1" thickBot="1">
      <c r="A62" s="18" t="str">
        <f t="shared" si="0"/>
        <v>agosto</v>
      </c>
      <c r="B62" s="18" t="s">
        <v>365</v>
      </c>
      <c r="C62" s="7" t="s">
        <v>7</v>
      </c>
      <c r="D62" s="7" t="s">
        <v>8</v>
      </c>
      <c r="E62" s="18" t="s">
        <v>410</v>
      </c>
      <c r="F62" s="18" t="s">
        <v>411</v>
      </c>
      <c r="G62" s="19" t="s">
        <v>412</v>
      </c>
      <c r="H62" s="18" t="s">
        <v>32</v>
      </c>
      <c r="I62" s="18" t="s">
        <v>54</v>
      </c>
      <c r="J62" s="18" t="s">
        <v>33</v>
      </c>
      <c r="K62" s="20" t="s">
        <v>34</v>
      </c>
      <c r="L62" s="20">
        <v>1502</v>
      </c>
      <c r="M62" s="20" t="s">
        <v>413</v>
      </c>
      <c r="N62" s="20" t="s">
        <v>30</v>
      </c>
      <c r="O62" s="20" t="s">
        <v>30</v>
      </c>
      <c r="P62" s="20" t="s">
        <v>30</v>
      </c>
      <c r="Q62" s="21">
        <v>46238</v>
      </c>
      <c r="R62" s="21">
        <v>46239</v>
      </c>
      <c r="S62" s="20" t="s">
        <v>49</v>
      </c>
      <c r="T62" s="18" t="s">
        <v>31</v>
      </c>
      <c r="U62" s="18" t="s">
        <v>30</v>
      </c>
    </row>
    <row r="63" spans="1:21" ht="33.6" customHeight="1" thickTop="1" thickBot="1">
      <c r="A63" s="18" t="str">
        <f t="shared" si="0"/>
        <v>agosto</v>
      </c>
      <c r="B63" s="18" t="s">
        <v>366</v>
      </c>
      <c r="C63" s="7" t="s">
        <v>7</v>
      </c>
      <c r="D63" s="7" t="s">
        <v>8</v>
      </c>
      <c r="E63" s="18" t="s">
        <v>414</v>
      </c>
      <c r="F63" s="18" t="s">
        <v>415</v>
      </c>
      <c r="G63" s="19" t="s">
        <v>416</v>
      </c>
      <c r="H63" s="18" t="s">
        <v>32</v>
      </c>
      <c r="I63" s="18" t="s">
        <v>417</v>
      </c>
      <c r="J63" s="18" t="s">
        <v>38</v>
      </c>
      <c r="K63" s="20" t="s">
        <v>43</v>
      </c>
      <c r="L63" s="20">
        <v>1502</v>
      </c>
      <c r="M63" s="20" t="s">
        <v>418</v>
      </c>
      <c r="N63" s="20">
        <v>30</v>
      </c>
      <c r="O63" s="20" t="s">
        <v>30</v>
      </c>
      <c r="P63" s="20" t="s">
        <v>30</v>
      </c>
      <c r="Q63" s="21">
        <v>46238</v>
      </c>
      <c r="R63" s="21">
        <v>46239</v>
      </c>
      <c r="S63" s="20" t="s">
        <v>52</v>
      </c>
      <c r="T63" s="18" t="s">
        <v>31</v>
      </c>
      <c r="U63" s="18" t="s">
        <v>1113</v>
      </c>
    </row>
    <row r="64" spans="1:21" ht="33.6" customHeight="1" thickTop="1" thickBot="1">
      <c r="A64" s="18" t="str">
        <f t="shared" si="0"/>
        <v>agosto</v>
      </c>
      <c r="B64" s="18" t="s">
        <v>367</v>
      </c>
      <c r="C64" s="7" t="s">
        <v>7</v>
      </c>
      <c r="D64" s="7" t="s">
        <v>8</v>
      </c>
      <c r="E64" s="18" t="s">
        <v>93</v>
      </c>
      <c r="F64" s="18" t="s">
        <v>94</v>
      </c>
      <c r="G64" s="19" t="s">
        <v>95</v>
      </c>
      <c r="H64" s="18" t="s">
        <v>32</v>
      </c>
      <c r="I64" s="18" t="s">
        <v>419</v>
      </c>
      <c r="J64" s="18" t="s">
        <v>33</v>
      </c>
      <c r="K64" s="20" t="s">
        <v>43</v>
      </c>
      <c r="L64" s="20">
        <v>1502</v>
      </c>
      <c r="M64" s="20" t="s">
        <v>420</v>
      </c>
      <c r="N64" s="20" t="s">
        <v>30</v>
      </c>
      <c r="O64" s="20" t="s">
        <v>30</v>
      </c>
      <c r="P64" s="20" t="s">
        <v>30</v>
      </c>
      <c r="Q64" s="21">
        <v>46238</v>
      </c>
      <c r="R64" s="21">
        <v>46239</v>
      </c>
      <c r="S64" s="20" t="s">
        <v>49</v>
      </c>
      <c r="T64" s="18" t="s">
        <v>31</v>
      </c>
      <c r="U64" s="18" t="s">
        <v>1114</v>
      </c>
    </row>
    <row r="65" spans="1:21" ht="33.6" customHeight="1" thickTop="1" thickBot="1">
      <c r="A65" s="18" t="str">
        <f t="shared" si="0"/>
        <v>agosto</v>
      </c>
      <c r="B65" s="18" t="s">
        <v>368</v>
      </c>
      <c r="C65" s="7" t="s">
        <v>9</v>
      </c>
      <c r="D65" s="7" t="s">
        <v>10</v>
      </c>
      <c r="E65" s="18" t="s">
        <v>421</v>
      </c>
      <c r="F65" s="18" t="s">
        <v>422</v>
      </c>
      <c r="G65" s="19" t="s">
        <v>423</v>
      </c>
      <c r="H65" s="18" t="s">
        <v>37</v>
      </c>
      <c r="I65" s="18" t="s">
        <v>424</v>
      </c>
      <c r="J65" s="18" t="s">
        <v>59</v>
      </c>
      <c r="K65" s="20" t="s">
        <v>43</v>
      </c>
      <c r="L65" s="20">
        <v>1502</v>
      </c>
      <c r="M65" s="20" t="s">
        <v>425</v>
      </c>
      <c r="N65" s="20">
        <v>37</v>
      </c>
      <c r="O65" s="20" t="s">
        <v>30</v>
      </c>
      <c r="P65" s="20" t="s">
        <v>30</v>
      </c>
      <c r="Q65" s="21">
        <v>46239</v>
      </c>
      <c r="R65" s="21">
        <v>46239</v>
      </c>
      <c r="S65" s="20" t="s">
        <v>41</v>
      </c>
      <c r="T65" s="18" t="s">
        <v>42</v>
      </c>
      <c r="U65" s="18" t="s">
        <v>1113</v>
      </c>
    </row>
    <row r="66" spans="1:21" ht="33.6" customHeight="1" thickTop="1" thickBot="1">
      <c r="A66" s="18" t="str">
        <f t="shared" si="0"/>
        <v>agosto</v>
      </c>
      <c r="B66" s="18" t="s">
        <v>369</v>
      </c>
      <c r="E66" s="18" t="s">
        <v>426</v>
      </c>
      <c r="F66" s="18" t="s">
        <v>427</v>
      </c>
      <c r="G66" s="19" t="s">
        <v>428</v>
      </c>
      <c r="H66" s="18" t="s">
        <v>32</v>
      </c>
      <c r="I66" s="18" t="s">
        <v>429</v>
      </c>
      <c r="J66" s="18" t="s">
        <v>33</v>
      </c>
      <c r="K66" s="20" t="s">
        <v>34</v>
      </c>
      <c r="L66" s="20">
        <v>1502</v>
      </c>
      <c r="M66" s="20" t="s">
        <v>430</v>
      </c>
      <c r="N66" s="20" t="s">
        <v>30</v>
      </c>
      <c r="O66" s="20" t="s">
        <v>30</v>
      </c>
      <c r="P66" s="20" t="s">
        <v>30</v>
      </c>
      <c r="Q66" s="21">
        <v>46239</v>
      </c>
      <c r="R66" s="21">
        <v>46239</v>
      </c>
      <c r="S66" s="20" t="s">
        <v>56</v>
      </c>
      <c r="T66" s="18" t="s">
        <v>30</v>
      </c>
      <c r="U66" s="18" t="s">
        <v>30</v>
      </c>
    </row>
    <row r="67" spans="1:21" ht="33.6" customHeight="1" thickTop="1" thickBot="1">
      <c r="A67" s="18" t="str">
        <f t="shared" ref="A67:A130" si="1">TEXT(R67,"MMMM")</f>
        <v>agosto</v>
      </c>
      <c r="B67" s="18" t="s">
        <v>370</v>
      </c>
      <c r="E67" s="18" t="s">
        <v>431</v>
      </c>
      <c r="F67" s="18" t="s">
        <v>432</v>
      </c>
      <c r="G67" s="19" t="s">
        <v>433</v>
      </c>
      <c r="H67" s="18" t="s">
        <v>37</v>
      </c>
      <c r="I67" s="18" t="s">
        <v>434</v>
      </c>
      <c r="J67" s="18" t="s">
        <v>60</v>
      </c>
      <c r="K67" s="20" t="s">
        <v>34</v>
      </c>
      <c r="L67" s="20">
        <v>1502</v>
      </c>
      <c r="M67" s="20" t="s">
        <v>434</v>
      </c>
      <c r="N67" s="20" t="s">
        <v>30</v>
      </c>
      <c r="O67" s="20" t="s">
        <v>30</v>
      </c>
      <c r="P67" s="20" t="s">
        <v>30</v>
      </c>
      <c r="Q67" s="21">
        <v>46239</v>
      </c>
      <c r="R67" s="21">
        <v>46239</v>
      </c>
      <c r="S67" s="20" t="s">
        <v>56</v>
      </c>
      <c r="T67" s="18" t="s">
        <v>30</v>
      </c>
      <c r="U67" s="18" t="s">
        <v>30</v>
      </c>
    </row>
    <row r="68" spans="1:21" ht="33.6" customHeight="1" thickTop="1" thickBot="1">
      <c r="A68" s="18" t="str">
        <f t="shared" si="1"/>
        <v>agosto</v>
      </c>
      <c r="B68" s="18" t="s">
        <v>371</v>
      </c>
      <c r="E68" s="18" t="s">
        <v>435</v>
      </c>
      <c r="F68" s="18" t="s">
        <v>436</v>
      </c>
      <c r="G68" s="19" t="s">
        <v>437</v>
      </c>
      <c r="H68" s="18" t="s">
        <v>37</v>
      </c>
      <c r="I68" s="18" t="s">
        <v>438</v>
      </c>
      <c r="J68" s="18" t="s">
        <v>60</v>
      </c>
      <c r="K68" s="20" t="s">
        <v>34</v>
      </c>
      <c r="L68" s="20">
        <v>1502</v>
      </c>
      <c r="M68" s="20" t="s">
        <v>439</v>
      </c>
      <c r="N68" s="20" t="s">
        <v>30</v>
      </c>
      <c r="O68" s="20" t="s">
        <v>30</v>
      </c>
      <c r="P68" s="20" t="s">
        <v>30</v>
      </c>
      <c r="Q68" s="21">
        <v>46239</v>
      </c>
      <c r="R68" s="21">
        <v>46239</v>
      </c>
      <c r="S68" s="20" t="s">
        <v>56</v>
      </c>
      <c r="T68" s="18" t="s">
        <v>30</v>
      </c>
      <c r="U68" s="18" t="s">
        <v>30</v>
      </c>
    </row>
    <row r="69" spans="1:21" ht="33.6" customHeight="1" thickTop="1" thickBot="1">
      <c r="A69" s="18" t="str">
        <f t="shared" si="1"/>
        <v>agosto</v>
      </c>
      <c r="B69" s="18" t="s">
        <v>92</v>
      </c>
      <c r="C69" s="7" t="s">
        <v>7</v>
      </c>
      <c r="D69" s="7" t="s">
        <v>8</v>
      </c>
      <c r="E69" s="18" t="s">
        <v>96</v>
      </c>
      <c r="F69" s="18" t="s">
        <v>97</v>
      </c>
      <c r="G69" s="19" t="s">
        <v>98</v>
      </c>
      <c r="H69" s="18" t="s">
        <v>46</v>
      </c>
      <c r="I69" s="18" t="s">
        <v>99</v>
      </c>
      <c r="J69" s="18" t="s">
        <v>33</v>
      </c>
      <c r="K69" s="20" t="s">
        <v>43</v>
      </c>
      <c r="L69" s="20">
        <v>1502</v>
      </c>
      <c r="M69" s="20" t="s">
        <v>372</v>
      </c>
      <c r="N69" s="20" t="s">
        <v>30</v>
      </c>
      <c r="O69" s="20" t="s">
        <v>30</v>
      </c>
      <c r="P69" s="20" t="s">
        <v>30</v>
      </c>
      <c r="Q69" s="21">
        <v>46232</v>
      </c>
      <c r="R69" s="21">
        <v>46239</v>
      </c>
      <c r="S69" s="20" t="s">
        <v>49</v>
      </c>
      <c r="T69" s="18" t="s">
        <v>31</v>
      </c>
      <c r="U69" s="18" t="s">
        <v>1113</v>
      </c>
    </row>
    <row r="70" spans="1:21" ht="33.6" customHeight="1" thickTop="1" thickBot="1">
      <c r="A70" s="18" t="str">
        <f t="shared" si="1"/>
        <v>agosto</v>
      </c>
      <c r="B70" s="18" t="s">
        <v>115</v>
      </c>
      <c r="C70" s="7" t="s">
        <v>7</v>
      </c>
      <c r="D70" s="7" t="s">
        <v>8</v>
      </c>
      <c r="E70" s="18" t="s">
        <v>135</v>
      </c>
      <c r="F70" s="18" t="s">
        <v>136</v>
      </c>
      <c r="G70" s="19" t="s">
        <v>137</v>
      </c>
      <c r="H70" s="18" t="s">
        <v>32</v>
      </c>
      <c r="I70" s="18" t="s">
        <v>138</v>
      </c>
      <c r="J70" s="18" t="s">
        <v>51</v>
      </c>
      <c r="K70" s="20" t="s">
        <v>34</v>
      </c>
      <c r="L70" s="20">
        <v>1502</v>
      </c>
      <c r="M70" s="20" t="s">
        <v>461</v>
      </c>
      <c r="N70" s="20" t="s">
        <v>30</v>
      </c>
      <c r="O70" s="20" t="s">
        <v>30</v>
      </c>
      <c r="P70" s="20" t="s">
        <v>30</v>
      </c>
      <c r="Q70" s="21">
        <v>46234</v>
      </c>
      <c r="R70" s="21">
        <v>46240</v>
      </c>
      <c r="S70" s="20" t="s">
        <v>53</v>
      </c>
      <c r="T70" s="18" t="s">
        <v>31</v>
      </c>
      <c r="U70" s="18" t="s">
        <v>30</v>
      </c>
    </row>
    <row r="71" spans="1:21" ht="33.6" customHeight="1" thickTop="1" thickBot="1">
      <c r="A71" s="18" t="str">
        <f t="shared" si="1"/>
        <v>agosto</v>
      </c>
      <c r="B71" s="18" t="s">
        <v>440</v>
      </c>
      <c r="C71" s="7" t="s">
        <v>7</v>
      </c>
      <c r="D71" s="7" t="s">
        <v>8</v>
      </c>
      <c r="E71" s="18" t="s">
        <v>462</v>
      </c>
      <c r="F71" s="18" t="s">
        <v>463</v>
      </c>
      <c r="G71" s="19" t="s">
        <v>464</v>
      </c>
      <c r="H71" s="18" t="s">
        <v>32</v>
      </c>
      <c r="I71" s="18" t="s">
        <v>465</v>
      </c>
      <c r="J71" s="18" t="s">
        <v>57</v>
      </c>
      <c r="K71" s="20" t="s">
        <v>34</v>
      </c>
      <c r="L71" s="20">
        <v>1502</v>
      </c>
      <c r="M71" s="20" t="s">
        <v>466</v>
      </c>
      <c r="N71" s="20" t="s">
        <v>30</v>
      </c>
      <c r="O71" s="20" t="s">
        <v>30</v>
      </c>
      <c r="P71" s="20" t="s">
        <v>30</v>
      </c>
      <c r="Q71" s="21">
        <v>46237</v>
      </c>
      <c r="R71" s="21">
        <v>46240</v>
      </c>
      <c r="S71" s="20" t="s">
        <v>35</v>
      </c>
      <c r="T71" s="18" t="s">
        <v>31</v>
      </c>
      <c r="U71" s="18" t="s">
        <v>30</v>
      </c>
    </row>
    <row r="72" spans="1:21" ht="33.6" customHeight="1" thickTop="1" thickBot="1">
      <c r="A72" s="18" t="str">
        <f t="shared" si="1"/>
        <v>agosto</v>
      </c>
      <c r="B72" s="18" t="s">
        <v>441</v>
      </c>
      <c r="C72" s="7" t="s">
        <v>7</v>
      </c>
      <c r="D72" s="7" t="s">
        <v>8</v>
      </c>
      <c r="E72" s="18" t="s">
        <v>467</v>
      </c>
      <c r="F72" s="18" t="s">
        <v>468</v>
      </c>
      <c r="G72" s="19" t="s">
        <v>469</v>
      </c>
      <c r="H72" s="18" t="s">
        <v>40</v>
      </c>
      <c r="I72" s="18" t="s">
        <v>470</v>
      </c>
      <c r="J72" s="18" t="s">
        <v>38</v>
      </c>
      <c r="K72" s="20" t="s">
        <v>63</v>
      </c>
      <c r="L72" s="20">
        <v>1502</v>
      </c>
      <c r="M72" s="20" t="s">
        <v>471</v>
      </c>
      <c r="N72" s="20" t="s">
        <v>30</v>
      </c>
      <c r="O72" s="20" t="s">
        <v>30</v>
      </c>
      <c r="P72" s="20" t="s">
        <v>30</v>
      </c>
      <c r="Q72" s="21">
        <v>46238</v>
      </c>
      <c r="R72" s="21">
        <v>46240</v>
      </c>
      <c r="S72" s="20" t="s">
        <v>49</v>
      </c>
      <c r="T72" s="18" t="s">
        <v>31</v>
      </c>
      <c r="U72" s="18" t="s">
        <v>30</v>
      </c>
    </row>
    <row r="73" spans="1:21" ht="33.6" customHeight="1" thickTop="1" thickBot="1">
      <c r="A73" s="18" t="str">
        <f t="shared" si="1"/>
        <v>agosto</v>
      </c>
      <c r="B73" s="18" t="s">
        <v>442</v>
      </c>
      <c r="C73" s="7" t="s">
        <v>9</v>
      </c>
      <c r="D73" s="7" t="s">
        <v>10</v>
      </c>
      <c r="E73" s="18" t="s">
        <v>472</v>
      </c>
      <c r="F73" s="18" t="s">
        <v>473</v>
      </c>
      <c r="G73" s="19" t="s">
        <v>474</v>
      </c>
      <c r="H73" s="18" t="s">
        <v>40</v>
      </c>
      <c r="I73" s="18" t="s">
        <v>475</v>
      </c>
      <c r="J73" s="18" t="s">
        <v>38</v>
      </c>
      <c r="K73" s="20" t="s">
        <v>43</v>
      </c>
      <c r="L73" s="20">
        <v>1502</v>
      </c>
      <c r="M73" s="20" t="s">
        <v>476</v>
      </c>
      <c r="N73" s="20">
        <v>31</v>
      </c>
      <c r="O73" s="20" t="s">
        <v>30</v>
      </c>
      <c r="P73" s="20" t="s">
        <v>30</v>
      </c>
      <c r="Q73" s="21">
        <v>46238</v>
      </c>
      <c r="R73" s="21">
        <v>46240</v>
      </c>
      <c r="S73" s="20" t="s">
        <v>41</v>
      </c>
      <c r="T73" s="18" t="s">
        <v>42</v>
      </c>
      <c r="U73" s="18" t="s">
        <v>1113</v>
      </c>
    </row>
    <row r="74" spans="1:21" ht="33.6" customHeight="1" thickTop="1" thickBot="1">
      <c r="A74" s="18" t="str">
        <f t="shared" si="1"/>
        <v>agosto</v>
      </c>
      <c r="B74" s="18" t="s">
        <v>443</v>
      </c>
      <c r="C74" s="7" t="s">
        <v>9</v>
      </c>
      <c r="D74" s="7" t="s">
        <v>10</v>
      </c>
      <c r="E74" s="18" t="s">
        <v>477</v>
      </c>
      <c r="F74" s="18" t="s">
        <v>478</v>
      </c>
      <c r="G74" s="19" t="s">
        <v>479</v>
      </c>
      <c r="H74" s="18" t="s">
        <v>40</v>
      </c>
      <c r="I74" s="18" t="s">
        <v>480</v>
      </c>
      <c r="J74" s="18" t="s">
        <v>38</v>
      </c>
      <c r="K74" s="20" t="s">
        <v>43</v>
      </c>
      <c r="L74" s="20">
        <v>1502</v>
      </c>
      <c r="M74" s="20" t="s">
        <v>481</v>
      </c>
      <c r="N74" s="20">
        <v>29</v>
      </c>
      <c r="O74" s="20" t="s">
        <v>30</v>
      </c>
      <c r="P74" s="20" t="s">
        <v>30</v>
      </c>
      <c r="Q74" s="21">
        <v>46239</v>
      </c>
      <c r="R74" s="21">
        <v>46240</v>
      </c>
      <c r="S74" s="20" t="s">
        <v>41</v>
      </c>
      <c r="T74" s="18" t="s">
        <v>42</v>
      </c>
      <c r="U74" s="18" t="s">
        <v>1113</v>
      </c>
    </row>
    <row r="75" spans="1:21" ht="33.6" customHeight="1" thickTop="1" thickBot="1">
      <c r="A75" s="18" t="str">
        <f t="shared" si="1"/>
        <v>agosto</v>
      </c>
      <c r="B75" s="18" t="s">
        <v>444</v>
      </c>
      <c r="C75" s="7" t="s">
        <v>7</v>
      </c>
      <c r="D75" s="7" t="s">
        <v>8</v>
      </c>
      <c r="E75" s="18" t="s">
        <v>482</v>
      </c>
      <c r="F75" s="18" t="s">
        <v>483</v>
      </c>
      <c r="G75" s="19" t="s">
        <v>484</v>
      </c>
      <c r="H75" s="18" t="s">
        <v>40</v>
      </c>
      <c r="I75" s="18" t="s">
        <v>485</v>
      </c>
      <c r="J75" s="18" t="s">
        <v>38</v>
      </c>
      <c r="K75" s="20" t="s">
        <v>43</v>
      </c>
      <c r="L75" s="20">
        <v>1502</v>
      </c>
      <c r="M75" s="20" t="s">
        <v>486</v>
      </c>
      <c r="N75" s="20">
        <v>50</v>
      </c>
      <c r="O75" s="20" t="s">
        <v>30</v>
      </c>
      <c r="P75" s="20" t="s">
        <v>30</v>
      </c>
      <c r="Q75" s="21">
        <v>46239</v>
      </c>
      <c r="R75" s="21">
        <v>46240</v>
      </c>
      <c r="S75" s="20" t="s">
        <v>52</v>
      </c>
      <c r="T75" s="18" t="s">
        <v>31</v>
      </c>
      <c r="U75" s="18" t="s">
        <v>1113</v>
      </c>
    </row>
    <row r="76" spans="1:21" ht="33.6" customHeight="1" thickTop="1" thickBot="1">
      <c r="A76" s="18" t="str">
        <f t="shared" si="1"/>
        <v>agosto</v>
      </c>
      <c r="B76" s="18" t="s">
        <v>445</v>
      </c>
      <c r="C76" s="7" t="s">
        <v>7</v>
      </c>
      <c r="D76" s="7" t="s">
        <v>8</v>
      </c>
      <c r="E76" s="18" t="s">
        <v>487</v>
      </c>
      <c r="F76" s="18" t="s">
        <v>488</v>
      </c>
      <c r="G76" s="19" t="s">
        <v>489</v>
      </c>
      <c r="H76" s="18" t="s">
        <v>46</v>
      </c>
      <c r="I76" s="18" t="s">
        <v>490</v>
      </c>
      <c r="J76" s="18" t="s">
        <v>51</v>
      </c>
      <c r="K76" s="20" t="s">
        <v>43</v>
      </c>
      <c r="L76" s="20">
        <v>1502</v>
      </c>
      <c r="M76" s="20" t="s">
        <v>491</v>
      </c>
      <c r="N76" s="20">
        <v>140</v>
      </c>
      <c r="O76" s="20" t="s">
        <v>30</v>
      </c>
      <c r="P76" s="20" t="s">
        <v>30</v>
      </c>
      <c r="Q76" s="21">
        <v>46239</v>
      </c>
      <c r="R76" s="21">
        <v>46240</v>
      </c>
      <c r="S76" s="20" t="s">
        <v>53</v>
      </c>
      <c r="T76" s="18" t="s">
        <v>31</v>
      </c>
      <c r="U76" s="18" t="s">
        <v>1113</v>
      </c>
    </row>
    <row r="77" spans="1:21" ht="33.6" customHeight="1" thickTop="1" thickBot="1">
      <c r="A77" s="18" t="str">
        <f t="shared" si="1"/>
        <v>agosto</v>
      </c>
      <c r="B77" s="18" t="s">
        <v>446</v>
      </c>
      <c r="C77" s="7" t="s">
        <v>9</v>
      </c>
      <c r="D77" s="7" t="s">
        <v>10</v>
      </c>
      <c r="E77" s="18" t="s">
        <v>492</v>
      </c>
      <c r="F77" s="18" t="s">
        <v>493</v>
      </c>
      <c r="G77" s="19" t="s">
        <v>494</v>
      </c>
      <c r="H77" s="18" t="s">
        <v>40</v>
      </c>
      <c r="I77" s="18" t="s">
        <v>61</v>
      </c>
      <c r="J77" s="18" t="s">
        <v>38</v>
      </c>
      <c r="K77" s="20" t="s">
        <v>43</v>
      </c>
      <c r="L77" s="20">
        <v>1502</v>
      </c>
      <c r="M77" s="20" t="s">
        <v>495</v>
      </c>
      <c r="N77" s="20">
        <v>25</v>
      </c>
      <c r="O77" s="20" t="s">
        <v>30</v>
      </c>
      <c r="P77" s="20" t="s">
        <v>30</v>
      </c>
      <c r="Q77" s="21">
        <v>46239</v>
      </c>
      <c r="R77" s="21">
        <v>46240</v>
      </c>
      <c r="S77" s="20" t="s">
        <v>41</v>
      </c>
      <c r="T77" s="18" t="s">
        <v>42</v>
      </c>
      <c r="U77" s="18" t="s">
        <v>1113</v>
      </c>
    </row>
    <row r="78" spans="1:21" ht="33.6" customHeight="1" thickTop="1" thickBot="1">
      <c r="A78" s="18" t="str">
        <f t="shared" si="1"/>
        <v>agosto</v>
      </c>
      <c r="B78" s="18" t="s">
        <v>447</v>
      </c>
      <c r="C78" s="7" t="s">
        <v>7</v>
      </c>
      <c r="D78" s="7" t="s">
        <v>8</v>
      </c>
      <c r="E78" s="18" t="s">
        <v>496</v>
      </c>
      <c r="F78" s="18" t="s">
        <v>497</v>
      </c>
      <c r="G78" s="19" t="s">
        <v>498</v>
      </c>
      <c r="H78" s="18" t="s">
        <v>40</v>
      </c>
      <c r="I78" s="18" t="s">
        <v>61</v>
      </c>
      <c r="J78" s="18" t="s">
        <v>38</v>
      </c>
      <c r="K78" s="20" t="s">
        <v>39</v>
      </c>
      <c r="L78" s="20">
        <v>1502</v>
      </c>
      <c r="M78" s="20" t="s">
        <v>499</v>
      </c>
      <c r="N78" s="20" t="s">
        <v>30</v>
      </c>
      <c r="O78" s="20" t="s">
        <v>30</v>
      </c>
      <c r="P78" s="20" t="s">
        <v>30</v>
      </c>
      <c r="Q78" s="21">
        <v>46239</v>
      </c>
      <c r="R78" s="21">
        <v>46240</v>
      </c>
      <c r="S78" s="20" t="s">
        <v>49</v>
      </c>
      <c r="T78" s="18" t="s">
        <v>31</v>
      </c>
      <c r="U78" s="18" t="s">
        <v>30</v>
      </c>
    </row>
    <row r="79" spans="1:21" ht="33.6" customHeight="1" thickTop="1" thickBot="1">
      <c r="A79" s="18" t="str">
        <f t="shared" si="1"/>
        <v>agosto</v>
      </c>
      <c r="B79" s="18" t="s">
        <v>448</v>
      </c>
      <c r="C79" s="7" t="s">
        <v>7</v>
      </c>
      <c r="D79" s="7" t="s">
        <v>8</v>
      </c>
      <c r="E79" s="18" t="s">
        <v>500</v>
      </c>
      <c r="F79" s="18" t="s">
        <v>501</v>
      </c>
      <c r="G79" s="19" t="s">
        <v>502</v>
      </c>
      <c r="H79" s="18" t="s">
        <v>40</v>
      </c>
      <c r="I79" s="18" t="s">
        <v>61</v>
      </c>
      <c r="J79" s="18" t="s">
        <v>38</v>
      </c>
      <c r="K79" s="20" t="s">
        <v>39</v>
      </c>
      <c r="L79" s="20">
        <v>1502</v>
      </c>
      <c r="M79" s="20" t="s">
        <v>503</v>
      </c>
      <c r="N79" s="20" t="s">
        <v>30</v>
      </c>
      <c r="O79" s="20" t="s">
        <v>30</v>
      </c>
      <c r="P79" s="20" t="s">
        <v>30</v>
      </c>
      <c r="Q79" s="21">
        <v>46239</v>
      </c>
      <c r="R79" s="21">
        <v>46240</v>
      </c>
      <c r="S79" s="20" t="s">
        <v>52</v>
      </c>
      <c r="T79" s="18" t="s">
        <v>31</v>
      </c>
      <c r="U79" s="18" t="s">
        <v>30</v>
      </c>
    </row>
    <row r="80" spans="1:21" ht="33.6" customHeight="1" thickTop="1" thickBot="1">
      <c r="A80" s="18" t="str">
        <f t="shared" si="1"/>
        <v>agosto</v>
      </c>
      <c r="B80" s="18" t="s">
        <v>449</v>
      </c>
      <c r="C80" s="7" t="s">
        <v>7</v>
      </c>
      <c r="D80" s="7" t="s">
        <v>8</v>
      </c>
      <c r="E80" s="18" t="s">
        <v>504</v>
      </c>
      <c r="F80" s="18" t="s">
        <v>505</v>
      </c>
      <c r="G80" s="19" t="s">
        <v>506</v>
      </c>
      <c r="H80" s="18" t="s">
        <v>40</v>
      </c>
      <c r="I80" s="18" t="s">
        <v>61</v>
      </c>
      <c r="J80" s="18" t="s">
        <v>38</v>
      </c>
      <c r="K80" s="20" t="s">
        <v>43</v>
      </c>
      <c r="L80" s="20">
        <v>1502</v>
      </c>
      <c r="M80" s="20" t="s">
        <v>507</v>
      </c>
      <c r="N80" s="20">
        <v>40</v>
      </c>
      <c r="O80" s="20" t="s">
        <v>30</v>
      </c>
      <c r="P80" s="20" t="s">
        <v>30</v>
      </c>
      <c r="Q80" s="21">
        <v>46239</v>
      </c>
      <c r="R80" s="21">
        <v>46240</v>
      </c>
      <c r="S80" s="20" t="s">
        <v>52</v>
      </c>
      <c r="T80" s="18" t="s">
        <v>31</v>
      </c>
      <c r="U80" s="18" t="s">
        <v>1113</v>
      </c>
    </row>
    <row r="81" spans="1:21" ht="33.6" customHeight="1" thickTop="1" thickBot="1">
      <c r="A81" s="18" t="str">
        <f t="shared" si="1"/>
        <v>agosto</v>
      </c>
      <c r="B81" s="18" t="s">
        <v>450</v>
      </c>
      <c r="C81" s="7" t="s">
        <v>7</v>
      </c>
      <c r="D81" s="7" t="s">
        <v>8</v>
      </c>
      <c r="E81" s="18" t="s">
        <v>508</v>
      </c>
      <c r="F81" s="18" t="s">
        <v>509</v>
      </c>
      <c r="G81" s="19" t="s">
        <v>510</v>
      </c>
      <c r="H81" s="18" t="s">
        <v>40</v>
      </c>
      <c r="I81" s="18" t="s">
        <v>511</v>
      </c>
      <c r="J81" s="18" t="s">
        <v>38</v>
      </c>
      <c r="K81" s="20" t="s">
        <v>43</v>
      </c>
      <c r="L81" s="20">
        <v>1502</v>
      </c>
      <c r="M81" s="20" t="s">
        <v>512</v>
      </c>
      <c r="N81" s="20">
        <v>25</v>
      </c>
      <c r="O81" s="20" t="s">
        <v>30</v>
      </c>
      <c r="P81" s="20" t="s">
        <v>30</v>
      </c>
      <c r="Q81" s="21">
        <v>46239</v>
      </c>
      <c r="R81" s="21">
        <v>46240</v>
      </c>
      <c r="S81" s="20" t="s">
        <v>49</v>
      </c>
      <c r="T81" s="18" t="s">
        <v>31</v>
      </c>
      <c r="U81" s="18" t="s">
        <v>1113</v>
      </c>
    </row>
    <row r="82" spans="1:21" ht="33.6" customHeight="1" thickTop="1" thickBot="1">
      <c r="A82" s="18" t="str">
        <f t="shared" si="1"/>
        <v>agosto</v>
      </c>
      <c r="B82" s="18" t="s">
        <v>451</v>
      </c>
      <c r="C82" s="7" t="s">
        <v>7</v>
      </c>
      <c r="D82" s="7" t="s">
        <v>8</v>
      </c>
      <c r="E82" s="18" t="s">
        <v>513</v>
      </c>
      <c r="F82" s="18" t="s">
        <v>514</v>
      </c>
      <c r="G82" s="19" t="s">
        <v>515</v>
      </c>
      <c r="H82" s="18" t="s">
        <v>32</v>
      </c>
      <c r="I82" s="18" t="s">
        <v>516</v>
      </c>
      <c r="J82" s="18" t="s">
        <v>57</v>
      </c>
      <c r="K82" s="20" t="s">
        <v>43</v>
      </c>
      <c r="L82" s="20">
        <v>1502</v>
      </c>
      <c r="M82" s="20" t="s">
        <v>517</v>
      </c>
      <c r="N82" s="20">
        <v>30</v>
      </c>
      <c r="O82" s="20" t="s">
        <v>30</v>
      </c>
      <c r="P82" s="20" t="s">
        <v>30</v>
      </c>
      <c r="Q82" s="21">
        <v>46239</v>
      </c>
      <c r="R82" s="21">
        <v>46240</v>
      </c>
      <c r="S82" s="20" t="s">
        <v>35</v>
      </c>
      <c r="T82" s="18" t="s">
        <v>31</v>
      </c>
      <c r="U82" s="18" t="s">
        <v>1113</v>
      </c>
    </row>
    <row r="83" spans="1:21" ht="33.6" customHeight="1" thickTop="1" thickBot="1">
      <c r="A83" s="18" t="str">
        <f t="shared" si="1"/>
        <v>agosto</v>
      </c>
      <c r="B83" s="18" t="s">
        <v>452</v>
      </c>
      <c r="C83" s="7" t="s">
        <v>7</v>
      </c>
      <c r="D83" s="7" t="s">
        <v>8</v>
      </c>
      <c r="E83" s="18" t="s">
        <v>518</v>
      </c>
      <c r="F83" s="18" t="s">
        <v>519</v>
      </c>
      <c r="G83" s="19" t="s">
        <v>520</v>
      </c>
      <c r="H83" s="18" t="s">
        <v>32</v>
      </c>
      <c r="I83" s="18" t="s">
        <v>521</v>
      </c>
      <c r="J83" s="18" t="s">
        <v>33</v>
      </c>
      <c r="K83" s="20" t="s">
        <v>43</v>
      </c>
      <c r="L83" s="20">
        <v>1502</v>
      </c>
      <c r="M83" s="20" t="s">
        <v>522</v>
      </c>
      <c r="N83" s="20" t="s">
        <v>30</v>
      </c>
      <c r="O83" s="20" t="s">
        <v>30</v>
      </c>
      <c r="P83" s="20" t="s">
        <v>30</v>
      </c>
      <c r="Q83" s="21">
        <v>46239</v>
      </c>
      <c r="R83" s="21">
        <v>46240</v>
      </c>
      <c r="S83" s="20" t="s">
        <v>35</v>
      </c>
      <c r="T83" s="18" t="s">
        <v>31</v>
      </c>
      <c r="U83" s="18" t="s">
        <v>1114</v>
      </c>
    </row>
    <row r="84" spans="1:21" ht="33.6" customHeight="1" thickTop="1" thickBot="1">
      <c r="A84" s="18" t="str">
        <f t="shared" si="1"/>
        <v>agosto</v>
      </c>
      <c r="B84" s="18" t="s">
        <v>363</v>
      </c>
      <c r="C84" s="7" t="s">
        <v>7</v>
      </c>
      <c r="D84" s="7" t="s">
        <v>8</v>
      </c>
      <c r="E84" s="18" t="s">
        <v>400</v>
      </c>
      <c r="F84" s="18" t="s">
        <v>401</v>
      </c>
      <c r="G84" s="19" t="s">
        <v>402</v>
      </c>
      <c r="H84" s="18" t="s">
        <v>64</v>
      </c>
      <c r="I84" s="18" t="s">
        <v>403</v>
      </c>
      <c r="J84" s="18" t="s">
        <v>55</v>
      </c>
      <c r="K84" s="20" t="s">
        <v>43</v>
      </c>
      <c r="L84" s="20">
        <v>1502</v>
      </c>
      <c r="M84" s="20" t="s">
        <v>523</v>
      </c>
      <c r="N84" s="20">
        <v>25</v>
      </c>
      <c r="O84" s="20" t="s">
        <v>30</v>
      </c>
      <c r="P84" s="20" t="s">
        <v>30</v>
      </c>
      <c r="Q84" s="21">
        <v>46238</v>
      </c>
      <c r="R84" s="21">
        <v>46240</v>
      </c>
      <c r="S84" s="20" t="s">
        <v>53</v>
      </c>
      <c r="T84" s="18" t="s">
        <v>31</v>
      </c>
      <c r="U84" s="18" t="s">
        <v>1113</v>
      </c>
    </row>
    <row r="85" spans="1:21" ht="33.6" customHeight="1" thickTop="1" thickBot="1">
      <c r="A85" s="18" t="str">
        <f t="shared" si="1"/>
        <v>agosto</v>
      </c>
      <c r="B85" s="18" t="s">
        <v>453</v>
      </c>
      <c r="E85" s="18" t="s">
        <v>524</v>
      </c>
      <c r="F85" s="18" t="s">
        <v>525</v>
      </c>
      <c r="G85" s="19" t="s">
        <v>526</v>
      </c>
      <c r="H85" s="18" t="s">
        <v>32</v>
      </c>
      <c r="I85" s="18" t="s">
        <v>527</v>
      </c>
      <c r="J85" s="18" t="s">
        <v>59</v>
      </c>
      <c r="K85" s="20" t="s">
        <v>34</v>
      </c>
      <c r="L85" s="20">
        <v>1502</v>
      </c>
      <c r="M85" s="20" t="s">
        <v>528</v>
      </c>
      <c r="N85" s="20" t="s">
        <v>30</v>
      </c>
      <c r="O85" s="20" t="s">
        <v>30</v>
      </c>
      <c r="P85" s="20" t="s">
        <v>30</v>
      </c>
      <c r="Q85" s="21">
        <v>46239</v>
      </c>
      <c r="R85" s="21">
        <v>46240</v>
      </c>
      <c r="S85" s="20" t="s">
        <v>56</v>
      </c>
      <c r="T85" s="18" t="s">
        <v>30</v>
      </c>
      <c r="U85" s="18" t="s">
        <v>30</v>
      </c>
    </row>
    <row r="86" spans="1:21" ht="33.6" customHeight="1" thickTop="1" thickBot="1">
      <c r="A86" s="18" t="str">
        <f t="shared" si="1"/>
        <v>agosto</v>
      </c>
      <c r="B86" s="18" t="s">
        <v>454</v>
      </c>
      <c r="E86" s="18" t="s">
        <v>529</v>
      </c>
      <c r="F86" s="18" t="s">
        <v>530</v>
      </c>
      <c r="G86" s="19" t="s">
        <v>531</v>
      </c>
      <c r="H86" s="18" t="s">
        <v>37</v>
      </c>
      <c r="I86" s="18" t="s">
        <v>532</v>
      </c>
      <c r="J86" s="18" t="s">
        <v>60</v>
      </c>
      <c r="K86" s="20" t="s">
        <v>34</v>
      </c>
      <c r="L86" s="20">
        <v>1502</v>
      </c>
      <c r="M86" s="20" t="s">
        <v>533</v>
      </c>
      <c r="N86" s="20" t="s">
        <v>30</v>
      </c>
      <c r="O86" s="20" t="s">
        <v>30</v>
      </c>
      <c r="P86" s="20" t="s">
        <v>30</v>
      </c>
      <c r="Q86" s="21">
        <v>46240</v>
      </c>
      <c r="R86" s="21">
        <v>46240</v>
      </c>
      <c r="S86" s="20" t="s">
        <v>56</v>
      </c>
      <c r="T86" s="18" t="s">
        <v>30</v>
      </c>
      <c r="U86" s="18" t="s">
        <v>30</v>
      </c>
    </row>
    <row r="87" spans="1:21" ht="33.6" customHeight="1" thickTop="1" thickBot="1">
      <c r="A87" s="18" t="str">
        <f t="shared" si="1"/>
        <v>agosto</v>
      </c>
      <c r="B87" s="18" t="s">
        <v>455</v>
      </c>
      <c r="E87" s="18" t="s">
        <v>534</v>
      </c>
      <c r="F87" s="18" t="s">
        <v>535</v>
      </c>
      <c r="G87" s="19" t="s">
        <v>536</v>
      </c>
      <c r="H87" s="18" t="s">
        <v>46</v>
      </c>
      <c r="I87" s="18" t="s">
        <v>537</v>
      </c>
      <c r="J87" s="18" t="s">
        <v>51</v>
      </c>
      <c r="K87" s="20" t="s">
        <v>34</v>
      </c>
      <c r="L87" s="20">
        <v>1502</v>
      </c>
      <c r="M87" s="20" t="s">
        <v>538</v>
      </c>
      <c r="N87" s="20" t="s">
        <v>30</v>
      </c>
      <c r="O87" s="20" t="s">
        <v>30</v>
      </c>
      <c r="P87" s="20" t="s">
        <v>30</v>
      </c>
      <c r="Q87" s="21">
        <v>46240</v>
      </c>
      <c r="R87" s="21">
        <v>46240</v>
      </c>
      <c r="S87" s="20" t="s">
        <v>56</v>
      </c>
      <c r="T87" s="18" t="s">
        <v>30</v>
      </c>
      <c r="U87" s="18" t="s">
        <v>30</v>
      </c>
    </row>
    <row r="88" spans="1:21" ht="33.6" customHeight="1" thickTop="1" thickBot="1">
      <c r="A88" s="18" t="str">
        <f t="shared" si="1"/>
        <v>agosto</v>
      </c>
      <c r="B88" s="18" t="s">
        <v>456</v>
      </c>
      <c r="E88" s="18" t="s">
        <v>539</v>
      </c>
      <c r="F88" s="18" t="s">
        <v>540</v>
      </c>
      <c r="G88" s="19" t="s">
        <v>541</v>
      </c>
      <c r="H88" s="18" t="s">
        <v>37</v>
      </c>
      <c r="I88" s="18" t="s">
        <v>532</v>
      </c>
      <c r="J88" s="18" t="s">
        <v>60</v>
      </c>
      <c r="K88" s="20" t="s">
        <v>34</v>
      </c>
      <c r="L88" s="20">
        <v>1502</v>
      </c>
      <c r="M88" s="20" t="s">
        <v>533</v>
      </c>
      <c r="N88" s="20" t="s">
        <v>30</v>
      </c>
      <c r="O88" s="20" t="s">
        <v>30</v>
      </c>
      <c r="P88" s="20" t="s">
        <v>30</v>
      </c>
      <c r="Q88" s="21">
        <v>46240</v>
      </c>
      <c r="R88" s="21">
        <v>46240</v>
      </c>
      <c r="S88" s="20" t="s">
        <v>56</v>
      </c>
      <c r="T88" s="18" t="s">
        <v>30</v>
      </c>
      <c r="U88" s="18" t="s">
        <v>30</v>
      </c>
    </row>
    <row r="89" spans="1:21" ht="33.6" customHeight="1" thickTop="1" thickBot="1">
      <c r="A89" s="18" t="str">
        <f t="shared" si="1"/>
        <v>agosto</v>
      </c>
      <c r="B89" s="18" t="s">
        <v>457</v>
      </c>
      <c r="C89" s="7" t="s">
        <v>7</v>
      </c>
      <c r="D89" s="7" t="s">
        <v>8</v>
      </c>
      <c r="E89" s="18" t="s">
        <v>542</v>
      </c>
      <c r="F89" s="18" t="s">
        <v>543</v>
      </c>
      <c r="G89" s="19" t="s">
        <v>544</v>
      </c>
      <c r="H89" s="18" t="s">
        <v>40</v>
      </c>
      <c r="I89" s="18" t="s">
        <v>545</v>
      </c>
      <c r="J89" s="18" t="s">
        <v>38</v>
      </c>
      <c r="K89" s="20" t="s">
        <v>39</v>
      </c>
      <c r="L89" s="20">
        <v>1502</v>
      </c>
      <c r="M89" s="20" t="s">
        <v>546</v>
      </c>
      <c r="N89" s="20" t="s">
        <v>30</v>
      </c>
      <c r="O89" s="20" t="s">
        <v>30</v>
      </c>
      <c r="P89" s="20" t="s">
        <v>30</v>
      </c>
      <c r="Q89" s="21">
        <v>46240</v>
      </c>
      <c r="R89" s="21">
        <v>46240</v>
      </c>
      <c r="S89" s="20" t="s">
        <v>49</v>
      </c>
      <c r="T89" s="18" t="s">
        <v>31</v>
      </c>
      <c r="U89" s="18" t="s">
        <v>30</v>
      </c>
    </row>
    <row r="90" spans="1:21" ht="33.6" customHeight="1" thickTop="1" thickBot="1">
      <c r="A90" s="18" t="str">
        <f t="shared" si="1"/>
        <v>agosto</v>
      </c>
      <c r="B90" s="18" t="s">
        <v>458</v>
      </c>
      <c r="E90" s="18" t="s">
        <v>547</v>
      </c>
      <c r="F90" s="18" t="s">
        <v>548</v>
      </c>
      <c r="G90" s="19" t="s">
        <v>549</v>
      </c>
      <c r="H90" s="18" t="s">
        <v>37</v>
      </c>
      <c r="I90" s="18" t="s">
        <v>550</v>
      </c>
      <c r="J90" s="18" t="s">
        <v>60</v>
      </c>
      <c r="K90" s="20" t="s">
        <v>34</v>
      </c>
      <c r="L90" s="20">
        <v>1502</v>
      </c>
      <c r="M90" s="20" t="s">
        <v>551</v>
      </c>
      <c r="N90" s="20" t="s">
        <v>30</v>
      </c>
      <c r="O90" s="20" t="s">
        <v>30</v>
      </c>
      <c r="P90" s="20" t="s">
        <v>30</v>
      </c>
      <c r="Q90" s="21">
        <v>46240</v>
      </c>
      <c r="R90" s="21">
        <v>46240</v>
      </c>
      <c r="S90" s="20" t="s">
        <v>56</v>
      </c>
      <c r="T90" s="18" t="s">
        <v>30</v>
      </c>
      <c r="U90" s="18" t="s">
        <v>30</v>
      </c>
    </row>
    <row r="91" spans="1:21" ht="33.6" customHeight="1" thickTop="1" thickBot="1">
      <c r="A91" s="18" t="str">
        <f t="shared" si="1"/>
        <v>agosto</v>
      </c>
      <c r="B91" s="18" t="s">
        <v>459</v>
      </c>
      <c r="C91" s="7" t="s">
        <v>7</v>
      </c>
      <c r="D91" s="7" t="s">
        <v>8</v>
      </c>
      <c r="E91" s="18" t="s">
        <v>552</v>
      </c>
      <c r="F91" s="18" t="s">
        <v>553</v>
      </c>
      <c r="G91" s="19" t="s">
        <v>554</v>
      </c>
      <c r="H91" s="18" t="s">
        <v>37</v>
      </c>
      <c r="I91" s="18" t="s">
        <v>555</v>
      </c>
      <c r="J91" s="18" t="s">
        <v>59</v>
      </c>
      <c r="K91" s="20" t="s">
        <v>43</v>
      </c>
      <c r="L91" s="20">
        <v>1502</v>
      </c>
      <c r="M91" s="20" t="s">
        <v>556</v>
      </c>
      <c r="N91" s="20" t="s">
        <v>30</v>
      </c>
      <c r="O91" s="20" t="s">
        <v>30</v>
      </c>
      <c r="P91" s="20" t="s">
        <v>30</v>
      </c>
      <c r="Q91" s="21">
        <v>46240</v>
      </c>
      <c r="R91" s="21">
        <v>46240</v>
      </c>
      <c r="S91" s="20" t="s">
        <v>49</v>
      </c>
      <c r="T91" s="18" t="s">
        <v>31</v>
      </c>
      <c r="U91" s="18" t="s">
        <v>1113</v>
      </c>
    </row>
    <row r="92" spans="1:21" ht="33.6" customHeight="1" thickTop="1" thickBot="1">
      <c r="A92" s="18" t="str">
        <f t="shared" si="1"/>
        <v>agosto</v>
      </c>
      <c r="B92" s="18" t="s">
        <v>460</v>
      </c>
      <c r="E92" s="18" t="s">
        <v>557</v>
      </c>
      <c r="F92" s="18" t="s">
        <v>558</v>
      </c>
      <c r="G92" s="19" t="s">
        <v>559</v>
      </c>
      <c r="H92" s="18" t="s">
        <v>46</v>
      </c>
      <c r="I92" s="18" t="s">
        <v>560</v>
      </c>
      <c r="J92" s="18" t="s">
        <v>45</v>
      </c>
      <c r="K92" s="20" t="s">
        <v>34</v>
      </c>
      <c r="L92" s="20">
        <v>1501</v>
      </c>
      <c r="M92" s="20" t="s">
        <v>561</v>
      </c>
      <c r="N92" s="20" t="s">
        <v>30</v>
      </c>
      <c r="O92" s="20" t="s">
        <v>30</v>
      </c>
      <c r="P92" s="20" t="s">
        <v>30</v>
      </c>
      <c r="Q92" s="21">
        <v>46240</v>
      </c>
      <c r="R92" s="21">
        <v>46240</v>
      </c>
      <c r="S92" s="20" t="s">
        <v>56</v>
      </c>
      <c r="T92" s="18" t="s">
        <v>30</v>
      </c>
      <c r="U92" s="18" t="s">
        <v>30</v>
      </c>
    </row>
    <row r="93" spans="1:21" ht="33.6" customHeight="1" thickTop="1" thickBot="1">
      <c r="A93" s="18" t="str">
        <f t="shared" si="1"/>
        <v>agosto</v>
      </c>
      <c r="B93" s="18" t="s">
        <v>183</v>
      </c>
      <c r="C93" s="7" t="s">
        <v>9</v>
      </c>
      <c r="D93" s="7" t="s">
        <v>10</v>
      </c>
      <c r="E93" s="18" t="s">
        <v>228</v>
      </c>
      <c r="F93" s="18" t="s">
        <v>229</v>
      </c>
      <c r="G93" s="19" t="s">
        <v>230</v>
      </c>
      <c r="H93" s="18" t="s">
        <v>40</v>
      </c>
      <c r="I93" s="18" t="s">
        <v>231</v>
      </c>
      <c r="J93" s="18" t="s">
        <v>62</v>
      </c>
      <c r="K93" s="20" t="s">
        <v>34</v>
      </c>
      <c r="L93" s="20">
        <v>1502</v>
      </c>
      <c r="M93" s="20" t="s">
        <v>573</v>
      </c>
      <c r="N93" s="20" t="s">
        <v>30</v>
      </c>
      <c r="O93" s="20" t="s">
        <v>30</v>
      </c>
      <c r="P93" s="20" t="s">
        <v>30</v>
      </c>
      <c r="Q93" s="21">
        <v>46235</v>
      </c>
      <c r="R93" s="21">
        <v>46242</v>
      </c>
      <c r="S93" s="20" t="s">
        <v>41</v>
      </c>
      <c r="T93" s="18" t="s">
        <v>42</v>
      </c>
      <c r="U93" s="18" t="s">
        <v>30</v>
      </c>
    </row>
    <row r="94" spans="1:21" ht="33.6" customHeight="1" thickTop="1" thickBot="1">
      <c r="A94" s="18" t="str">
        <f t="shared" si="1"/>
        <v>agosto</v>
      </c>
      <c r="B94" s="18" t="s">
        <v>185</v>
      </c>
      <c r="C94" s="7" t="s">
        <v>7</v>
      </c>
      <c r="D94" s="7" t="s">
        <v>8</v>
      </c>
      <c r="E94" s="18" t="s">
        <v>238</v>
      </c>
      <c r="F94" s="18" t="s">
        <v>239</v>
      </c>
      <c r="G94" s="19" t="s">
        <v>240</v>
      </c>
      <c r="H94" s="18" t="s">
        <v>46</v>
      </c>
      <c r="I94" s="18" t="s">
        <v>58</v>
      </c>
      <c r="J94" s="18" t="s">
        <v>51</v>
      </c>
      <c r="K94" s="20" t="s">
        <v>34</v>
      </c>
      <c r="L94" s="20">
        <v>1502</v>
      </c>
      <c r="M94" s="20" t="s">
        <v>574</v>
      </c>
      <c r="N94" s="20" t="s">
        <v>30</v>
      </c>
      <c r="O94" s="20" t="s">
        <v>30</v>
      </c>
      <c r="P94" s="20" t="s">
        <v>30</v>
      </c>
      <c r="Q94" s="21">
        <v>46235</v>
      </c>
      <c r="R94" s="21">
        <v>46242</v>
      </c>
      <c r="S94" s="20" t="s">
        <v>49</v>
      </c>
      <c r="T94" s="18" t="s">
        <v>31</v>
      </c>
      <c r="U94" s="18" t="s">
        <v>30</v>
      </c>
    </row>
    <row r="95" spans="1:21" ht="33.6" customHeight="1" thickTop="1" thickBot="1">
      <c r="A95" s="18" t="str">
        <f t="shared" si="1"/>
        <v>agosto</v>
      </c>
      <c r="B95" s="18" t="s">
        <v>270</v>
      </c>
      <c r="C95" s="7" t="s">
        <v>7</v>
      </c>
      <c r="D95" s="7" t="s">
        <v>8</v>
      </c>
      <c r="E95" s="18" t="s">
        <v>322</v>
      </c>
      <c r="F95" s="18" t="s">
        <v>323</v>
      </c>
      <c r="G95" s="19" t="s">
        <v>324</v>
      </c>
      <c r="H95" s="18" t="s">
        <v>46</v>
      </c>
      <c r="I95" s="18" t="s">
        <v>325</v>
      </c>
      <c r="J95" s="18" t="s">
        <v>48</v>
      </c>
      <c r="K95" s="20" t="s">
        <v>43</v>
      </c>
      <c r="L95" s="20">
        <v>1502</v>
      </c>
      <c r="M95" s="20" t="s">
        <v>575</v>
      </c>
      <c r="N95" s="20" t="s">
        <v>30</v>
      </c>
      <c r="O95" s="20" t="s">
        <v>30</v>
      </c>
      <c r="P95" s="20" t="s">
        <v>30</v>
      </c>
      <c r="Q95" s="21">
        <v>46237</v>
      </c>
      <c r="R95" s="21">
        <v>46242</v>
      </c>
      <c r="S95" s="20" t="s">
        <v>52</v>
      </c>
      <c r="T95" s="18" t="s">
        <v>31</v>
      </c>
      <c r="U95" s="18" t="s">
        <v>1113</v>
      </c>
    </row>
    <row r="96" spans="1:21" ht="33.6" customHeight="1" thickTop="1" thickBot="1">
      <c r="A96" s="18" t="str">
        <f t="shared" si="1"/>
        <v>agosto</v>
      </c>
      <c r="B96" s="18" t="s">
        <v>263</v>
      </c>
      <c r="C96" s="7" t="s">
        <v>7</v>
      </c>
      <c r="D96" s="7" t="s">
        <v>8</v>
      </c>
      <c r="E96" s="18" t="s">
        <v>287</v>
      </c>
      <c r="F96" s="18" t="s">
        <v>288</v>
      </c>
      <c r="G96" s="19" t="s">
        <v>289</v>
      </c>
      <c r="H96" s="18" t="s">
        <v>46</v>
      </c>
      <c r="I96" s="18" t="s">
        <v>290</v>
      </c>
      <c r="J96" s="18" t="s">
        <v>51</v>
      </c>
      <c r="K96" s="20" t="s">
        <v>43</v>
      </c>
      <c r="L96" s="20">
        <v>1502</v>
      </c>
      <c r="M96" s="20" t="s">
        <v>576</v>
      </c>
      <c r="N96" s="20">
        <v>50</v>
      </c>
      <c r="O96" s="20" t="s">
        <v>30</v>
      </c>
      <c r="P96" s="20" t="s">
        <v>30</v>
      </c>
      <c r="Q96" s="21">
        <v>46235</v>
      </c>
      <c r="R96" s="21">
        <v>46242</v>
      </c>
      <c r="S96" s="20" t="s">
        <v>52</v>
      </c>
      <c r="T96" s="18" t="s">
        <v>31</v>
      </c>
      <c r="U96" s="18" t="s">
        <v>1113</v>
      </c>
    </row>
    <row r="97" spans="1:21" ht="33.6" customHeight="1" thickTop="1" thickBot="1">
      <c r="A97" s="18" t="str">
        <f t="shared" si="1"/>
        <v>agosto</v>
      </c>
      <c r="B97" s="18" t="s">
        <v>562</v>
      </c>
      <c r="C97" s="7" t="s">
        <v>7</v>
      </c>
      <c r="D97" s="7" t="s">
        <v>8</v>
      </c>
      <c r="E97" s="18" t="s">
        <v>577</v>
      </c>
      <c r="F97" s="18" t="s">
        <v>578</v>
      </c>
      <c r="G97" s="19" t="s">
        <v>579</v>
      </c>
      <c r="H97" s="18" t="s">
        <v>64</v>
      </c>
      <c r="I97" s="18" t="s">
        <v>580</v>
      </c>
      <c r="J97" s="18" t="s">
        <v>55</v>
      </c>
      <c r="K97" s="20" t="s">
        <v>43</v>
      </c>
      <c r="L97" s="20">
        <v>1502</v>
      </c>
      <c r="M97" s="20" t="s">
        <v>581</v>
      </c>
      <c r="N97" s="20">
        <v>85</v>
      </c>
      <c r="O97" s="20" t="s">
        <v>30</v>
      </c>
      <c r="P97" s="20" t="s">
        <v>30</v>
      </c>
      <c r="Q97" s="21">
        <v>46239</v>
      </c>
      <c r="R97" s="21">
        <v>46242</v>
      </c>
      <c r="S97" s="20" t="s">
        <v>53</v>
      </c>
      <c r="T97" s="18" t="s">
        <v>31</v>
      </c>
      <c r="U97" s="18" t="s">
        <v>1113</v>
      </c>
    </row>
    <row r="98" spans="1:21" ht="33.6" customHeight="1" thickTop="1" thickBot="1">
      <c r="A98" s="18" t="str">
        <f t="shared" si="1"/>
        <v>agosto</v>
      </c>
      <c r="B98" s="18" t="s">
        <v>563</v>
      </c>
      <c r="C98" s="7" t="s">
        <v>9</v>
      </c>
      <c r="D98" s="7" t="s">
        <v>10</v>
      </c>
      <c r="E98" s="18" t="s">
        <v>582</v>
      </c>
      <c r="F98" s="18" t="s">
        <v>583</v>
      </c>
      <c r="G98" s="19" t="s">
        <v>584</v>
      </c>
      <c r="H98" s="18" t="s">
        <v>32</v>
      </c>
      <c r="I98" s="18" t="s">
        <v>585</v>
      </c>
      <c r="J98" s="18" t="s">
        <v>38</v>
      </c>
      <c r="K98" s="20" t="s">
        <v>43</v>
      </c>
      <c r="L98" s="20">
        <v>1502</v>
      </c>
      <c r="M98" s="20" t="s">
        <v>586</v>
      </c>
      <c r="N98" s="20" t="s">
        <v>30</v>
      </c>
      <c r="O98" s="20" t="s">
        <v>30</v>
      </c>
      <c r="P98" s="20" t="s">
        <v>30</v>
      </c>
      <c r="Q98" s="21">
        <v>46239</v>
      </c>
      <c r="R98" s="21">
        <v>46242</v>
      </c>
      <c r="S98" s="20" t="s">
        <v>41</v>
      </c>
      <c r="T98" s="18" t="s">
        <v>42</v>
      </c>
      <c r="U98" s="18" t="s">
        <v>1113</v>
      </c>
    </row>
    <row r="99" spans="1:21" ht="33.6" customHeight="1" thickTop="1" thickBot="1">
      <c r="A99" s="18" t="str">
        <f t="shared" si="1"/>
        <v>agosto</v>
      </c>
      <c r="B99" s="18" t="s">
        <v>564</v>
      </c>
      <c r="C99" s="7" t="s">
        <v>7</v>
      </c>
      <c r="D99" s="7" t="s">
        <v>8</v>
      </c>
      <c r="E99" s="18" t="s">
        <v>587</v>
      </c>
      <c r="F99" s="18" t="s">
        <v>588</v>
      </c>
      <c r="G99" s="19" t="s">
        <v>589</v>
      </c>
      <c r="H99" s="18" t="s">
        <v>37</v>
      </c>
      <c r="I99" s="18" t="s">
        <v>590</v>
      </c>
      <c r="J99" s="18" t="s">
        <v>55</v>
      </c>
      <c r="K99" s="20" t="s">
        <v>39</v>
      </c>
      <c r="L99" s="20">
        <v>1501</v>
      </c>
      <c r="M99" s="20" t="s">
        <v>591</v>
      </c>
      <c r="N99" s="20" t="s">
        <v>30</v>
      </c>
      <c r="O99" s="20" t="s">
        <v>30</v>
      </c>
      <c r="P99" s="20" t="s">
        <v>30</v>
      </c>
      <c r="Q99" s="21">
        <v>46239</v>
      </c>
      <c r="R99" s="21">
        <v>46242</v>
      </c>
      <c r="S99" s="20" t="s">
        <v>53</v>
      </c>
      <c r="T99" s="18" t="s">
        <v>31</v>
      </c>
      <c r="U99" s="18" t="s">
        <v>30</v>
      </c>
    </row>
    <row r="100" spans="1:21" ht="33.6" customHeight="1" thickTop="1" thickBot="1">
      <c r="A100" s="18" t="str">
        <f t="shared" si="1"/>
        <v>agosto</v>
      </c>
      <c r="B100" s="18" t="s">
        <v>565</v>
      </c>
      <c r="C100" s="7" t="s">
        <v>9</v>
      </c>
      <c r="D100" s="7" t="s">
        <v>10</v>
      </c>
      <c r="E100" s="18" t="s">
        <v>592</v>
      </c>
      <c r="F100" s="18" t="s">
        <v>593</v>
      </c>
      <c r="G100" s="19" t="s">
        <v>594</v>
      </c>
      <c r="H100" s="18" t="s">
        <v>40</v>
      </c>
      <c r="I100" s="18" t="s">
        <v>595</v>
      </c>
      <c r="J100" s="18" t="s">
        <v>38</v>
      </c>
      <c r="K100" s="20" t="s">
        <v>39</v>
      </c>
      <c r="L100" s="20">
        <v>1502</v>
      </c>
      <c r="M100" s="20" t="s">
        <v>596</v>
      </c>
      <c r="N100" s="20" t="s">
        <v>30</v>
      </c>
      <c r="O100" s="20" t="s">
        <v>30</v>
      </c>
      <c r="P100" s="20" t="s">
        <v>30</v>
      </c>
      <c r="Q100" s="21">
        <v>46239</v>
      </c>
      <c r="R100" s="21">
        <v>46242</v>
      </c>
      <c r="S100" s="20" t="s">
        <v>41</v>
      </c>
      <c r="T100" s="18" t="s">
        <v>42</v>
      </c>
      <c r="U100" s="18" t="s">
        <v>30</v>
      </c>
    </row>
    <row r="101" spans="1:21" ht="33.6" customHeight="1" thickTop="1" thickBot="1">
      <c r="A101" s="18" t="str">
        <f t="shared" si="1"/>
        <v>agosto</v>
      </c>
      <c r="B101" s="18" t="s">
        <v>566</v>
      </c>
      <c r="C101" s="7" t="s">
        <v>9</v>
      </c>
      <c r="D101" s="7" t="s">
        <v>10</v>
      </c>
      <c r="E101" s="18" t="s">
        <v>597</v>
      </c>
      <c r="F101" s="18" t="s">
        <v>598</v>
      </c>
      <c r="G101" s="19" t="s">
        <v>599</v>
      </c>
      <c r="H101" s="18" t="s">
        <v>40</v>
      </c>
      <c r="I101" s="18" t="s">
        <v>600</v>
      </c>
      <c r="J101" s="18" t="s">
        <v>45</v>
      </c>
      <c r="K101" s="20" t="s">
        <v>39</v>
      </c>
      <c r="L101" s="20">
        <v>1502</v>
      </c>
      <c r="M101" s="20" t="s">
        <v>601</v>
      </c>
      <c r="N101" s="20" t="s">
        <v>30</v>
      </c>
      <c r="O101" s="20" t="s">
        <v>30</v>
      </c>
      <c r="P101" s="20" t="s">
        <v>30</v>
      </c>
      <c r="Q101" s="21">
        <v>46240</v>
      </c>
      <c r="R101" s="21">
        <v>46242</v>
      </c>
      <c r="S101" s="20" t="s">
        <v>41</v>
      </c>
      <c r="T101" s="18" t="s">
        <v>42</v>
      </c>
      <c r="U101" s="18" t="s">
        <v>30</v>
      </c>
    </row>
    <row r="102" spans="1:21" ht="33.6" customHeight="1" thickTop="1" thickBot="1">
      <c r="A102" s="18" t="str">
        <f t="shared" si="1"/>
        <v>agosto</v>
      </c>
      <c r="B102" s="18" t="s">
        <v>567</v>
      </c>
      <c r="C102" s="7" t="s">
        <v>7</v>
      </c>
      <c r="D102" s="7" t="s">
        <v>8</v>
      </c>
      <c r="E102" s="18" t="s">
        <v>602</v>
      </c>
      <c r="F102" s="18" t="s">
        <v>603</v>
      </c>
      <c r="G102" s="19" t="s">
        <v>604</v>
      </c>
      <c r="H102" s="18" t="s">
        <v>40</v>
      </c>
      <c r="I102" s="18" t="s">
        <v>605</v>
      </c>
      <c r="J102" s="18" t="s">
        <v>38</v>
      </c>
      <c r="K102" s="20" t="s">
        <v>34</v>
      </c>
      <c r="L102" s="20">
        <v>1502</v>
      </c>
      <c r="M102" s="20" t="s">
        <v>606</v>
      </c>
      <c r="N102" s="20" t="s">
        <v>30</v>
      </c>
      <c r="O102" s="20" t="s">
        <v>30</v>
      </c>
      <c r="P102" s="20" t="s">
        <v>30</v>
      </c>
      <c r="Q102" s="21">
        <v>46240</v>
      </c>
      <c r="R102" s="21">
        <v>46242</v>
      </c>
      <c r="S102" s="20" t="s">
        <v>35</v>
      </c>
      <c r="T102" s="18" t="s">
        <v>31</v>
      </c>
      <c r="U102" s="18" t="s">
        <v>30</v>
      </c>
    </row>
    <row r="103" spans="1:21" ht="33.6" customHeight="1" thickTop="1" thickBot="1">
      <c r="A103" s="18" t="str">
        <f t="shared" si="1"/>
        <v>agosto</v>
      </c>
      <c r="B103" s="18" t="s">
        <v>568</v>
      </c>
      <c r="C103" s="7" t="s">
        <v>7</v>
      </c>
      <c r="D103" s="7" t="s">
        <v>8</v>
      </c>
      <c r="E103" s="18" t="s">
        <v>607</v>
      </c>
      <c r="F103" s="18" t="s">
        <v>608</v>
      </c>
      <c r="G103" s="19" t="s">
        <v>609</v>
      </c>
      <c r="H103" s="18" t="s">
        <v>37</v>
      </c>
      <c r="I103" s="18" t="s">
        <v>610</v>
      </c>
      <c r="J103" s="18" t="s">
        <v>59</v>
      </c>
      <c r="K103" s="20" t="s">
        <v>34</v>
      </c>
      <c r="L103" s="20">
        <v>1501</v>
      </c>
      <c r="M103" s="20" t="s">
        <v>611</v>
      </c>
      <c r="N103" s="20" t="s">
        <v>30</v>
      </c>
      <c r="O103" s="20" t="s">
        <v>30</v>
      </c>
      <c r="P103" s="20" t="s">
        <v>30</v>
      </c>
      <c r="Q103" s="21">
        <v>46240</v>
      </c>
      <c r="R103" s="21">
        <v>46242</v>
      </c>
      <c r="S103" s="20" t="s">
        <v>35</v>
      </c>
      <c r="T103" s="18" t="s">
        <v>31</v>
      </c>
      <c r="U103" s="18" t="s">
        <v>30</v>
      </c>
    </row>
    <row r="104" spans="1:21" ht="33.6" customHeight="1" thickTop="1" thickBot="1">
      <c r="A104" s="18" t="str">
        <f t="shared" si="1"/>
        <v>agosto</v>
      </c>
      <c r="B104" s="18" t="s">
        <v>569</v>
      </c>
      <c r="C104" s="7" t="s">
        <v>7</v>
      </c>
      <c r="D104" s="7" t="s">
        <v>8</v>
      </c>
      <c r="E104" s="18" t="s">
        <v>612</v>
      </c>
      <c r="F104" s="18" t="s">
        <v>613</v>
      </c>
      <c r="G104" s="19" t="s">
        <v>614</v>
      </c>
      <c r="H104" s="18" t="s">
        <v>32</v>
      </c>
      <c r="I104" s="18" t="s">
        <v>615</v>
      </c>
      <c r="J104" s="18" t="s">
        <v>33</v>
      </c>
      <c r="K104" s="20" t="s">
        <v>43</v>
      </c>
      <c r="L104" s="20">
        <v>1502</v>
      </c>
      <c r="M104" s="20" t="s">
        <v>616</v>
      </c>
      <c r="N104" s="20" t="s">
        <v>30</v>
      </c>
      <c r="O104" s="20" t="s">
        <v>30</v>
      </c>
      <c r="P104" s="20" t="s">
        <v>30</v>
      </c>
      <c r="Q104" s="21">
        <v>46240</v>
      </c>
      <c r="R104" s="21">
        <v>46242</v>
      </c>
      <c r="S104" s="20" t="s">
        <v>52</v>
      </c>
      <c r="T104" s="18" t="s">
        <v>31</v>
      </c>
      <c r="U104" s="18" t="s">
        <v>1113</v>
      </c>
    </row>
    <row r="105" spans="1:21" ht="33.6" customHeight="1" thickTop="1" thickBot="1">
      <c r="A105" s="18" t="str">
        <f t="shared" si="1"/>
        <v>agosto</v>
      </c>
      <c r="B105" s="18" t="s">
        <v>570</v>
      </c>
      <c r="C105" s="7" t="s">
        <v>7</v>
      </c>
      <c r="D105" s="7" t="s">
        <v>8</v>
      </c>
      <c r="E105" s="18" t="s">
        <v>617</v>
      </c>
      <c r="F105" s="18" t="s">
        <v>618</v>
      </c>
      <c r="G105" s="19" t="s">
        <v>619</v>
      </c>
      <c r="H105" s="18" t="s">
        <v>46</v>
      </c>
      <c r="I105" s="18" t="s">
        <v>58</v>
      </c>
      <c r="J105" s="18" t="s">
        <v>51</v>
      </c>
      <c r="K105" s="20" t="s">
        <v>43</v>
      </c>
      <c r="L105" s="20">
        <v>1502</v>
      </c>
      <c r="M105" s="20" t="s">
        <v>620</v>
      </c>
      <c r="N105" s="20">
        <v>55</v>
      </c>
      <c r="O105" s="20" t="s">
        <v>30</v>
      </c>
      <c r="P105" s="20" t="s">
        <v>30</v>
      </c>
      <c r="Q105" s="21">
        <v>46240</v>
      </c>
      <c r="R105" s="21">
        <v>46242</v>
      </c>
      <c r="S105" s="20" t="s">
        <v>49</v>
      </c>
      <c r="T105" s="18" t="s">
        <v>31</v>
      </c>
      <c r="U105" s="18" t="s">
        <v>1113</v>
      </c>
    </row>
    <row r="106" spans="1:21" ht="33.6" customHeight="1" thickTop="1" thickBot="1">
      <c r="A106" s="18" t="str">
        <f t="shared" si="1"/>
        <v>agosto</v>
      </c>
      <c r="B106" s="18" t="s">
        <v>457</v>
      </c>
      <c r="C106" s="7" t="s">
        <v>7</v>
      </c>
      <c r="D106" s="7" t="s">
        <v>8</v>
      </c>
      <c r="E106" s="18" t="s">
        <v>542</v>
      </c>
      <c r="F106" s="18" t="s">
        <v>543</v>
      </c>
      <c r="G106" s="19" t="s">
        <v>544</v>
      </c>
      <c r="H106" s="18" t="s">
        <v>40</v>
      </c>
      <c r="I106" s="18" t="s">
        <v>545</v>
      </c>
      <c r="J106" s="18" t="s">
        <v>38</v>
      </c>
      <c r="K106" s="20" t="s">
        <v>63</v>
      </c>
      <c r="L106" s="20">
        <v>1502</v>
      </c>
      <c r="M106" s="20" t="s">
        <v>621</v>
      </c>
      <c r="N106" s="20" t="s">
        <v>30</v>
      </c>
      <c r="O106" s="20" t="s">
        <v>30</v>
      </c>
      <c r="P106" s="20" t="s">
        <v>30</v>
      </c>
      <c r="Q106" s="21">
        <v>46240</v>
      </c>
      <c r="R106" s="21">
        <v>46242</v>
      </c>
      <c r="S106" s="20" t="s">
        <v>35</v>
      </c>
      <c r="T106" s="18" t="s">
        <v>31</v>
      </c>
      <c r="U106" s="18" t="s">
        <v>30</v>
      </c>
    </row>
    <row r="107" spans="1:21" ht="33.6" customHeight="1" thickTop="1" thickBot="1">
      <c r="A107" s="18" t="str">
        <f t="shared" si="1"/>
        <v>agosto</v>
      </c>
      <c r="B107" s="18" t="s">
        <v>571</v>
      </c>
      <c r="E107" s="18" t="s">
        <v>622</v>
      </c>
      <c r="F107" s="18" t="s">
        <v>623</v>
      </c>
      <c r="G107" s="19" t="s">
        <v>624</v>
      </c>
      <c r="H107" s="18" t="s">
        <v>46</v>
      </c>
      <c r="I107" s="18" t="s">
        <v>625</v>
      </c>
      <c r="J107" s="18" t="s">
        <v>51</v>
      </c>
      <c r="K107" s="20" t="s">
        <v>34</v>
      </c>
      <c r="L107" s="20">
        <v>1502</v>
      </c>
      <c r="M107" s="20" t="s">
        <v>626</v>
      </c>
      <c r="N107" s="20" t="s">
        <v>30</v>
      </c>
      <c r="O107" s="20" t="s">
        <v>30</v>
      </c>
      <c r="P107" s="20" t="s">
        <v>30</v>
      </c>
      <c r="Q107" s="21">
        <v>46242</v>
      </c>
      <c r="R107" s="21">
        <v>46242</v>
      </c>
      <c r="S107" s="20" t="s">
        <v>56</v>
      </c>
      <c r="T107" s="18" t="s">
        <v>30</v>
      </c>
      <c r="U107" s="18" t="s">
        <v>30</v>
      </c>
    </row>
    <row r="108" spans="1:21" ht="33.6" customHeight="1" thickTop="1" thickBot="1">
      <c r="A108" s="18" t="str">
        <f t="shared" si="1"/>
        <v>agosto</v>
      </c>
      <c r="B108" s="18" t="s">
        <v>572</v>
      </c>
      <c r="C108" s="7" t="s">
        <v>7</v>
      </c>
      <c r="D108" s="7" t="s">
        <v>8</v>
      </c>
      <c r="E108" s="18" t="s">
        <v>627</v>
      </c>
      <c r="F108" s="18" t="s">
        <v>628</v>
      </c>
      <c r="G108" s="19" t="s">
        <v>629</v>
      </c>
      <c r="H108" s="18" t="s">
        <v>64</v>
      </c>
      <c r="I108" s="18" t="s">
        <v>630</v>
      </c>
      <c r="J108" s="18" t="s">
        <v>55</v>
      </c>
      <c r="K108" s="20" t="s">
        <v>43</v>
      </c>
      <c r="L108" s="20">
        <v>1502</v>
      </c>
      <c r="M108" s="20" t="s">
        <v>631</v>
      </c>
      <c r="N108" s="20">
        <v>30</v>
      </c>
      <c r="O108" s="20" t="s">
        <v>30</v>
      </c>
      <c r="P108" s="20" t="s">
        <v>30</v>
      </c>
      <c r="Q108" s="21">
        <v>46242</v>
      </c>
      <c r="R108" s="21">
        <v>46242</v>
      </c>
      <c r="S108" s="20" t="s">
        <v>53</v>
      </c>
      <c r="T108" s="18" t="s">
        <v>31</v>
      </c>
      <c r="U108" s="18" t="s">
        <v>1113</v>
      </c>
    </row>
    <row r="109" spans="1:21" ht="33.6" customHeight="1" thickTop="1" thickBot="1">
      <c r="A109" s="18" t="str">
        <f t="shared" si="1"/>
        <v>agosto</v>
      </c>
      <c r="B109" s="18" t="s">
        <v>632</v>
      </c>
      <c r="C109" s="7" t="s">
        <v>7</v>
      </c>
      <c r="D109" s="7" t="s">
        <v>8</v>
      </c>
      <c r="E109" s="18" t="s">
        <v>647</v>
      </c>
      <c r="F109" s="18" t="s">
        <v>648</v>
      </c>
      <c r="G109" s="19" t="s">
        <v>649</v>
      </c>
      <c r="H109" s="18" t="s">
        <v>37</v>
      </c>
      <c r="I109" s="18" t="s">
        <v>650</v>
      </c>
      <c r="J109" s="18" t="s">
        <v>59</v>
      </c>
      <c r="K109" s="20" t="s">
        <v>34</v>
      </c>
      <c r="L109" s="20">
        <v>1502</v>
      </c>
      <c r="M109" s="20" t="s">
        <v>651</v>
      </c>
      <c r="N109" s="20" t="s">
        <v>30</v>
      </c>
      <c r="O109" s="20" t="s">
        <v>30</v>
      </c>
      <c r="P109" s="20" t="s">
        <v>30</v>
      </c>
      <c r="Q109" s="21">
        <v>46239</v>
      </c>
      <c r="R109" s="21">
        <v>46244</v>
      </c>
      <c r="S109" s="20" t="s">
        <v>52</v>
      </c>
      <c r="T109" s="18" t="s">
        <v>31</v>
      </c>
      <c r="U109" s="18" t="s">
        <v>30</v>
      </c>
    </row>
    <row r="110" spans="1:21" ht="33.6" customHeight="1" thickTop="1" thickBot="1">
      <c r="A110" s="18" t="str">
        <f t="shared" si="1"/>
        <v>agosto</v>
      </c>
      <c r="B110" s="18" t="s">
        <v>448</v>
      </c>
      <c r="C110" s="7" t="s">
        <v>9</v>
      </c>
      <c r="D110" s="7" t="s">
        <v>10</v>
      </c>
      <c r="E110" s="18" t="s">
        <v>500</v>
      </c>
      <c r="F110" s="18" t="s">
        <v>501</v>
      </c>
      <c r="G110" s="19" t="s">
        <v>502</v>
      </c>
      <c r="H110" s="18" t="s">
        <v>40</v>
      </c>
      <c r="I110" s="18" t="s">
        <v>61</v>
      </c>
      <c r="J110" s="18" t="s">
        <v>38</v>
      </c>
      <c r="K110" s="20" t="s">
        <v>43</v>
      </c>
      <c r="L110" s="20">
        <v>1502</v>
      </c>
      <c r="M110" s="20" t="s">
        <v>652</v>
      </c>
      <c r="N110" s="20">
        <v>59</v>
      </c>
      <c r="O110" s="20" t="s">
        <v>30</v>
      </c>
      <c r="P110" s="20" t="s">
        <v>30</v>
      </c>
      <c r="Q110" s="21">
        <v>46239</v>
      </c>
      <c r="R110" s="21">
        <v>46244</v>
      </c>
      <c r="S110" s="20" t="s">
        <v>41</v>
      </c>
      <c r="T110" s="18" t="s">
        <v>42</v>
      </c>
      <c r="U110" s="18" t="s">
        <v>1113</v>
      </c>
    </row>
    <row r="111" spans="1:21" ht="33.6" customHeight="1" thickTop="1" thickBot="1">
      <c r="A111" s="18" t="str">
        <f t="shared" si="1"/>
        <v>agosto</v>
      </c>
      <c r="B111" s="18" t="s">
        <v>633</v>
      </c>
      <c r="C111" s="7" t="s">
        <v>7</v>
      </c>
      <c r="D111" s="7" t="s">
        <v>8</v>
      </c>
      <c r="E111" s="18" t="s">
        <v>653</v>
      </c>
      <c r="F111" s="18" t="s">
        <v>654</v>
      </c>
      <c r="G111" s="19" t="s">
        <v>655</v>
      </c>
      <c r="H111" s="18" t="s">
        <v>40</v>
      </c>
      <c r="I111" s="18" t="s">
        <v>656</v>
      </c>
      <c r="J111" s="18" t="s">
        <v>38</v>
      </c>
      <c r="K111" s="20" t="s">
        <v>34</v>
      </c>
      <c r="L111" s="20">
        <v>1502</v>
      </c>
      <c r="M111" s="20" t="s">
        <v>657</v>
      </c>
      <c r="N111" s="20" t="s">
        <v>30</v>
      </c>
      <c r="O111" s="20" t="s">
        <v>30</v>
      </c>
      <c r="P111" s="20" t="s">
        <v>30</v>
      </c>
      <c r="Q111" s="21">
        <v>46240</v>
      </c>
      <c r="R111" s="21">
        <v>46244</v>
      </c>
      <c r="S111" s="20" t="s">
        <v>49</v>
      </c>
      <c r="T111" s="18" t="s">
        <v>31</v>
      </c>
      <c r="U111" s="18" t="s">
        <v>30</v>
      </c>
    </row>
    <row r="112" spans="1:21" ht="33.6" customHeight="1" thickTop="1" thickBot="1">
      <c r="A112" s="18" t="str">
        <f t="shared" si="1"/>
        <v>agosto</v>
      </c>
      <c r="B112" s="18" t="s">
        <v>634</v>
      </c>
      <c r="C112" s="7" t="s">
        <v>7</v>
      </c>
      <c r="D112" s="7" t="s">
        <v>8</v>
      </c>
      <c r="E112" s="18" t="s">
        <v>658</v>
      </c>
      <c r="F112" s="18" t="s">
        <v>659</v>
      </c>
      <c r="G112" s="19" t="s">
        <v>660</v>
      </c>
      <c r="H112" s="18" t="s">
        <v>32</v>
      </c>
      <c r="I112" s="18" t="s">
        <v>661</v>
      </c>
      <c r="J112" s="18" t="s">
        <v>33</v>
      </c>
      <c r="K112" s="20" t="s">
        <v>39</v>
      </c>
      <c r="L112" s="20">
        <v>1502</v>
      </c>
      <c r="M112" s="20" t="s">
        <v>662</v>
      </c>
      <c r="N112" s="20" t="s">
        <v>30</v>
      </c>
      <c r="O112" s="20" t="s">
        <v>30</v>
      </c>
      <c r="P112" s="20" t="s">
        <v>30</v>
      </c>
      <c r="Q112" s="21">
        <v>46240</v>
      </c>
      <c r="R112" s="21">
        <v>46244</v>
      </c>
      <c r="S112" s="20" t="s">
        <v>52</v>
      </c>
      <c r="T112" s="18" t="s">
        <v>31</v>
      </c>
      <c r="U112" s="18" t="s">
        <v>30</v>
      </c>
    </row>
    <row r="113" spans="1:21" ht="33.6" customHeight="1" thickTop="1" thickBot="1">
      <c r="A113" s="18" t="str">
        <f t="shared" si="1"/>
        <v>agosto</v>
      </c>
      <c r="B113" s="18" t="s">
        <v>635</v>
      </c>
      <c r="C113" s="7" t="s">
        <v>7</v>
      </c>
      <c r="D113" s="7" t="s">
        <v>8</v>
      </c>
      <c r="E113" s="18" t="s">
        <v>663</v>
      </c>
      <c r="F113" s="18" t="s">
        <v>664</v>
      </c>
      <c r="G113" s="19" t="s">
        <v>665</v>
      </c>
      <c r="H113" s="18" t="s">
        <v>40</v>
      </c>
      <c r="I113" s="18" t="s">
        <v>666</v>
      </c>
      <c r="J113" s="18" t="s">
        <v>38</v>
      </c>
      <c r="K113" s="20" t="s">
        <v>39</v>
      </c>
      <c r="L113" s="20">
        <v>1502</v>
      </c>
      <c r="M113" s="20" t="s">
        <v>667</v>
      </c>
      <c r="N113" s="20" t="s">
        <v>30</v>
      </c>
      <c r="O113" s="20" t="s">
        <v>30</v>
      </c>
      <c r="P113" s="20" t="s">
        <v>30</v>
      </c>
      <c r="Q113" s="21">
        <v>46240</v>
      </c>
      <c r="R113" s="21">
        <v>46244</v>
      </c>
      <c r="S113" s="20" t="s">
        <v>49</v>
      </c>
      <c r="T113" s="18" t="s">
        <v>31</v>
      </c>
      <c r="U113" s="18" t="s">
        <v>30</v>
      </c>
    </row>
    <row r="114" spans="1:21" ht="33.6" customHeight="1" thickTop="1" thickBot="1">
      <c r="A114" s="18" t="str">
        <f t="shared" si="1"/>
        <v>agosto</v>
      </c>
      <c r="B114" s="18" t="s">
        <v>636</v>
      </c>
      <c r="C114" s="7" t="s">
        <v>7</v>
      </c>
      <c r="D114" s="7" t="s">
        <v>8</v>
      </c>
      <c r="E114" s="18" t="s">
        <v>668</v>
      </c>
      <c r="F114" s="18" t="s">
        <v>669</v>
      </c>
      <c r="G114" s="19" t="s">
        <v>670</v>
      </c>
      <c r="H114" s="18" t="s">
        <v>32</v>
      </c>
      <c r="I114" s="18" t="s">
        <v>671</v>
      </c>
      <c r="J114" s="18" t="s">
        <v>50</v>
      </c>
      <c r="K114" s="20" t="s">
        <v>43</v>
      </c>
      <c r="L114" s="20">
        <v>1502</v>
      </c>
      <c r="M114" s="20" t="s">
        <v>672</v>
      </c>
      <c r="N114" s="20" t="s">
        <v>30</v>
      </c>
      <c r="O114" s="20" t="s">
        <v>30</v>
      </c>
      <c r="P114" s="20" t="s">
        <v>30</v>
      </c>
      <c r="Q114" s="21">
        <v>46240</v>
      </c>
      <c r="R114" s="21">
        <v>46244</v>
      </c>
      <c r="S114" s="20" t="s">
        <v>53</v>
      </c>
      <c r="T114" s="18" t="s">
        <v>31</v>
      </c>
      <c r="U114" s="18" t="s">
        <v>1113</v>
      </c>
    </row>
    <row r="115" spans="1:21" ht="33.6" customHeight="1" thickTop="1" thickBot="1">
      <c r="A115" s="18" t="str">
        <f t="shared" si="1"/>
        <v>agosto</v>
      </c>
      <c r="B115" s="18" t="s">
        <v>637</v>
      </c>
      <c r="C115" s="7" t="s">
        <v>7</v>
      </c>
      <c r="D115" s="7" t="s">
        <v>8</v>
      </c>
      <c r="E115" s="18" t="s">
        <v>673</v>
      </c>
      <c r="F115" s="18" t="s">
        <v>674</v>
      </c>
      <c r="G115" s="19" t="s">
        <v>675</v>
      </c>
      <c r="H115" s="18" t="s">
        <v>64</v>
      </c>
      <c r="I115" s="18" t="s">
        <v>676</v>
      </c>
      <c r="J115" s="18" t="s">
        <v>55</v>
      </c>
      <c r="K115" s="20" t="s">
        <v>43</v>
      </c>
      <c r="L115" s="20">
        <v>1502</v>
      </c>
      <c r="M115" s="20" t="s">
        <v>677</v>
      </c>
      <c r="N115" s="20">
        <v>25</v>
      </c>
      <c r="O115" s="20" t="s">
        <v>30</v>
      </c>
      <c r="P115" s="20" t="s">
        <v>30</v>
      </c>
      <c r="Q115" s="21">
        <v>46240</v>
      </c>
      <c r="R115" s="21">
        <v>46244</v>
      </c>
      <c r="S115" s="20" t="s">
        <v>53</v>
      </c>
      <c r="T115" s="18" t="s">
        <v>31</v>
      </c>
      <c r="U115" s="18" t="s">
        <v>1113</v>
      </c>
    </row>
    <row r="116" spans="1:21" ht="33.6" customHeight="1" thickTop="1" thickBot="1">
      <c r="A116" s="18" t="str">
        <f t="shared" si="1"/>
        <v>agosto</v>
      </c>
      <c r="B116" s="18" t="s">
        <v>638</v>
      </c>
      <c r="C116" s="7" t="s">
        <v>9</v>
      </c>
      <c r="D116" s="7" t="s">
        <v>10</v>
      </c>
      <c r="E116" s="18" t="s">
        <v>678</v>
      </c>
      <c r="F116" s="18" t="s">
        <v>679</v>
      </c>
      <c r="G116" s="19" t="s">
        <v>680</v>
      </c>
      <c r="H116" s="18" t="s">
        <v>46</v>
      </c>
      <c r="I116" s="18" t="s">
        <v>100</v>
      </c>
      <c r="J116" s="18" t="s">
        <v>45</v>
      </c>
      <c r="K116" s="20" t="s">
        <v>63</v>
      </c>
      <c r="L116" s="20">
        <v>1502</v>
      </c>
      <c r="M116" s="20" t="s">
        <v>681</v>
      </c>
      <c r="N116" s="20" t="s">
        <v>30</v>
      </c>
      <c r="O116" s="20" t="s">
        <v>30</v>
      </c>
      <c r="P116" s="20" t="s">
        <v>30</v>
      </c>
      <c r="Q116" s="21">
        <v>46240</v>
      </c>
      <c r="R116" s="21">
        <v>46244</v>
      </c>
      <c r="S116" s="20" t="s">
        <v>41</v>
      </c>
      <c r="T116" s="18" t="s">
        <v>42</v>
      </c>
      <c r="U116" s="18" t="s">
        <v>30</v>
      </c>
    </row>
    <row r="117" spans="1:21" ht="33.6" customHeight="1" thickTop="1" thickBot="1">
      <c r="A117" s="18" t="str">
        <f t="shared" si="1"/>
        <v>agosto</v>
      </c>
      <c r="B117" s="18" t="s">
        <v>639</v>
      </c>
      <c r="C117" s="7" t="s">
        <v>7</v>
      </c>
      <c r="D117" s="7" t="s">
        <v>8</v>
      </c>
      <c r="E117" s="18" t="s">
        <v>682</v>
      </c>
      <c r="F117" s="18" t="s">
        <v>683</v>
      </c>
      <c r="G117" s="19" t="s">
        <v>684</v>
      </c>
      <c r="H117" s="18" t="s">
        <v>40</v>
      </c>
      <c r="I117" s="18" t="s">
        <v>685</v>
      </c>
      <c r="J117" s="18" t="s">
        <v>38</v>
      </c>
      <c r="K117" s="20" t="s">
        <v>43</v>
      </c>
      <c r="L117" s="20">
        <v>1502</v>
      </c>
      <c r="M117" s="20" t="s">
        <v>686</v>
      </c>
      <c r="N117" s="20">
        <v>30</v>
      </c>
      <c r="O117" s="20" t="s">
        <v>30</v>
      </c>
      <c r="P117" s="20" t="s">
        <v>30</v>
      </c>
      <c r="Q117" s="21">
        <v>46240</v>
      </c>
      <c r="R117" s="21">
        <v>46244</v>
      </c>
      <c r="S117" s="20" t="s">
        <v>49</v>
      </c>
      <c r="T117" s="18" t="s">
        <v>31</v>
      </c>
      <c r="U117" s="18" t="s">
        <v>1113</v>
      </c>
    </row>
    <row r="118" spans="1:21" ht="33.6" customHeight="1" thickTop="1" thickBot="1">
      <c r="A118" s="18" t="str">
        <f t="shared" si="1"/>
        <v>agosto</v>
      </c>
      <c r="B118" s="18" t="s">
        <v>640</v>
      </c>
      <c r="C118" s="7" t="s">
        <v>9</v>
      </c>
      <c r="D118" s="7" t="s">
        <v>10</v>
      </c>
      <c r="E118" s="18" t="s">
        <v>687</v>
      </c>
      <c r="F118" s="18" t="s">
        <v>688</v>
      </c>
      <c r="G118" s="19" t="s">
        <v>689</v>
      </c>
      <c r="H118" s="18" t="s">
        <v>40</v>
      </c>
      <c r="I118" s="18" t="s">
        <v>61</v>
      </c>
      <c r="J118" s="18" t="s">
        <v>38</v>
      </c>
      <c r="K118" s="20" t="s">
        <v>34</v>
      </c>
      <c r="L118" s="20">
        <v>1502</v>
      </c>
      <c r="M118" s="20" t="s">
        <v>690</v>
      </c>
      <c r="N118" s="20" t="s">
        <v>30</v>
      </c>
      <c r="O118" s="20" t="s">
        <v>30</v>
      </c>
      <c r="P118" s="20" t="s">
        <v>30</v>
      </c>
      <c r="Q118" s="21">
        <v>46242</v>
      </c>
      <c r="R118" s="21">
        <v>46244</v>
      </c>
      <c r="S118" s="20" t="s">
        <v>41</v>
      </c>
      <c r="T118" s="18" t="s">
        <v>42</v>
      </c>
      <c r="U118" s="18" t="s">
        <v>30</v>
      </c>
    </row>
    <row r="119" spans="1:21" ht="33.6" customHeight="1" thickTop="1" thickBot="1">
      <c r="A119" s="18" t="str">
        <f t="shared" si="1"/>
        <v>agosto</v>
      </c>
      <c r="B119" s="18" t="s">
        <v>641</v>
      </c>
      <c r="C119" s="7" t="s">
        <v>7</v>
      </c>
      <c r="D119" s="7" t="s">
        <v>8</v>
      </c>
      <c r="E119" s="18" t="s">
        <v>691</v>
      </c>
      <c r="F119" s="18" t="s">
        <v>692</v>
      </c>
      <c r="G119" s="19" t="s">
        <v>693</v>
      </c>
      <c r="H119" s="18" t="s">
        <v>40</v>
      </c>
      <c r="I119" s="18" t="s">
        <v>61</v>
      </c>
      <c r="J119" s="18" t="s">
        <v>45</v>
      </c>
      <c r="K119" s="20" t="s">
        <v>39</v>
      </c>
      <c r="L119" s="20">
        <v>1502</v>
      </c>
      <c r="M119" s="20" t="s">
        <v>694</v>
      </c>
      <c r="N119" s="20" t="s">
        <v>30</v>
      </c>
      <c r="O119" s="20" t="s">
        <v>30</v>
      </c>
      <c r="P119" s="20" t="s">
        <v>30</v>
      </c>
      <c r="Q119" s="21">
        <v>46242</v>
      </c>
      <c r="R119" s="21">
        <v>46244</v>
      </c>
      <c r="S119" s="20" t="s">
        <v>35</v>
      </c>
      <c r="T119" s="18" t="s">
        <v>31</v>
      </c>
      <c r="U119" s="18" t="s">
        <v>30</v>
      </c>
    </row>
    <row r="120" spans="1:21" ht="33.6" customHeight="1" thickTop="1" thickBot="1">
      <c r="A120" s="18" t="str">
        <f t="shared" si="1"/>
        <v>agosto</v>
      </c>
      <c r="B120" s="18" t="s">
        <v>642</v>
      </c>
      <c r="C120" s="7" t="s">
        <v>7</v>
      </c>
      <c r="D120" s="7" t="s">
        <v>8</v>
      </c>
      <c r="E120" s="18" t="s">
        <v>695</v>
      </c>
      <c r="F120" s="18" t="s">
        <v>696</v>
      </c>
      <c r="G120" s="19" t="s">
        <v>697</v>
      </c>
      <c r="H120" s="18" t="s">
        <v>32</v>
      </c>
      <c r="I120" s="18" t="s">
        <v>698</v>
      </c>
      <c r="J120" s="18" t="s">
        <v>33</v>
      </c>
      <c r="K120" s="20" t="s">
        <v>34</v>
      </c>
      <c r="L120" s="20">
        <v>1502</v>
      </c>
      <c r="M120" s="20" t="s">
        <v>699</v>
      </c>
      <c r="N120" s="20" t="s">
        <v>30</v>
      </c>
      <c r="O120" s="20" t="s">
        <v>30</v>
      </c>
      <c r="P120" s="20" t="s">
        <v>30</v>
      </c>
      <c r="Q120" s="21">
        <v>46242</v>
      </c>
      <c r="R120" s="21">
        <v>46244</v>
      </c>
      <c r="S120" s="20" t="s">
        <v>52</v>
      </c>
      <c r="T120" s="18" t="s">
        <v>31</v>
      </c>
      <c r="U120" s="18" t="s">
        <v>30</v>
      </c>
    </row>
    <row r="121" spans="1:21" ht="33.6" customHeight="1" thickTop="1" thickBot="1">
      <c r="A121" s="18" t="str">
        <f t="shared" si="1"/>
        <v>agosto</v>
      </c>
      <c r="B121" s="18" t="s">
        <v>565</v>
      </c>
      <c r="C121" s="7" t="s">
        <v>7</v>
      </c>
      <c r="D121" s="7" t="s">
        <v>8</v>
      </c>
      <c r="E121" s="18" t="s">
        <v>592</v>
      </c>
      <c r="F121" s="18" t="s">
        <v>593</v>
      </c>
      <c r="G121" s="19" t="s">
        <v>594</v>
      </c>
      <c r="H121" s="18" t="s">
        <v>40</v>
      </c>
      <c r="I121" s="18" t="s">
        <v>595</v>
      </c>
      <c r="J121" s="18" t="s">
        <v>38</v>
      </c>
      <c r="K121" s="20" t="s">
        <v>34</v>
      </c>
      <c r="L121" s="20">
        <v>1502</v>
      </c>
      <c r="M121" s="20" t="s">
        <v>700</v>
      </c>
      <c r="N121" s="20" t="s">
        <v>30</v>
      </c>
      <c r="O121" s="20" t="s">
        <v>30</v>
      </c>
      <c r="P121" s="20" t="s">
        <v>30</v>
      </c>
      <c r="Q121" s="21">
        <v>46239</v>
      </c>
      <c r="R121" s="21">
        <v>46244</v>
      </c>
      <c r="S121" s="20" t="s">
        <v>35</v>
      </c>
      <c r="T121" s="18" t="s">
        <v>31</v>
      </c>
      <c r="U121" s="18" t="s">
        <v>30</v>
      </c>
    </row>
    <row r="122" spans="1:21" ht="33.6" customHeight="1" thickTop="1" thickBot="1">
      <c r="A122" s="18" t="str">
        <f t="shared" si="1"/>
        <v>agosto</v>
      </c>
      <c r="B122" s="18" t="s">
        <v>643</v>
      </c>
      <c r="C122" s="7" t="s">
        <v>7</v>
      </c>
      <c r="D122" s="7" t="s">
        <v>8</v>
      </c>
      <c r="E122" s="18" t="s">
        <v>701</v>
      </c>
      <c r="F122" s="18" t="s">
        <v>702</v>
      </c>
      <c r="G122" s="19" t="s">
        <v>703</v>
      </c>
      <c r="H122" s="18" t="s">
        <v>40</v>
      </c>
      <c r="I122" s="18" t="s">
        <v>485</v>
      </c>
      <c r="J122" s="18" t="s">
        <v>62</v>
      </c>
      <c r="K122" s="20" t="s">
        <v>39</v>
      </c>
      <c r="L122" s="20">
        <v>1502</v>
      </c>
      <c r="M122" s="20" t="s">
        <v>704</v>
      </c>
      <c r="N122" s="20" t="s">
        <v>30</v>
      </c>
      <c r="O122" s="20" t="s">
        <v>30</v>
      </c>
      <c r="P122" s="20" t="s">
        <v>30</v>
      </c>
      <c r="Q122" s="21">
        <v>46242</v>
      </c>
      <c r="R122" s="21">
        <v>46244</v>
      </c>
      <c r="S122" s="20" t="s">
        <v>35</v>
      </c>
      <c r="T122" s="18" t="s">
        <v>31</v>
      </c>
      <c r="U122" s="18" t="s">
        <v>30</v>
      </c>
    </row>
    <row r="123" spans="1:21" ht="33.6" customHeight="1" thickTop="1" thickBot="1">
      <c r="A123" s="18" t="str">
        <f t="shared" si="1"/>
        <v>agosto</v>
      </c>
      <c r="B123" s="18" t="s">
        <v>566</v>
      </c>
      <c r="C123" s="7" t="s">
        <v>7</v>
      </c>
      <c r="D123" s="7" t="s">
        <v>8</v>
      </c>
      <c r="E123" s="18" t="s">
        <v>597</v>
      </c>
      <c r="F123" s="18" t="s">
        <v>598</v>
      </c>
      <c r="G123" s="19" t="s">
        <v>599</v>
      </c>
      <c r="H123" s="18" t="s">
        <v>40</v>
      </c>
      <c r="I123" s="18" t="s">
        <v>600</v>
      </c>
      <c r="J123" s="18" t="s">
        <v>45</v>
      </c>
      <c r="K123" s="20" t="s">
        <v>34</v>
      </c>
      <c r="L123" s="20">
        <v>1502</v>
      </c>
      <c r="M123" s="20" t="s">
        <v>705</v>
      </c>
      <c r="N123" s="20" t="s">
        <v>30</v>
      </c>
      <c r="O123" s="20" t="s">
        <v>30</v>
      </c>
      <c r="P123" s="20" t="s">
        <v>30</v>
      </c>
      <c r="Q123" s="21">
        <v>46240</v>
      </c>
      <c r="R123" s="21">
        <v>46244</v>
      </c>
      <c r="S123" s="20" t="s">
        <v>35</v>
      </c>
      <c r="T123" s="18" t="s">
        <v>31</v>
      </c>
      <c r="U123" s="18" t="s">
        <v>30</v>
      </c>
    </row>
    <row r="124" spans="1:21" ht="33.6" customHeight="1" thickTop="1" thickBot="1">
      <c r="A124" s="18" t="str">
        <f t="shared" si="1"/>
        <v>agosto</v>
      </c>
      <c r="B124" s="18" t="s">
        <v>644</v>
      </c>
      <c r="E124" s="18" t="s">
        <v>706</v>
      </c>
      <c r="F124" s="18" t="s">
        <v>707</v>
      </c>
      <c r="G124" s="19" t="s">
        <v>708</v>
      </c>
      <c r="H124" s="18" t="s">
        <v>37</v>
      </c>
      <c r="I124" s="18" t="s">
        <v>709</v>
      </c>
      <c r="J124" s="18" t="s">
        <v>59</v>
      </c>
      <c r="K124" s="20" t="s">
        <v>34</v>
      </c>
      <c r="L124" s="20">
        <v>1502</v>
      </c>
      <c r="M124" s="20" t="s">
        <v>710</v>
      </c>
      <c r="N124" s="20" t="s">
        <v>30</v>
      </c>
      <c r="O124" s="20" t="s">
        <v>30</v>
      </c>
      <c r="P124" s="20" t="s">
        <v>30</v>
      </c>
      <c r="Q124" s="21">
        <v>46244</v>
      </c>
      <c r="R124" s="21">
        <v>46244</v>
      </c>
      <c r="S124" s="20" t="s">
        <v>56</v>
      </c>
      <c r="T124" s="18" t="s">
        <v>30</v>
      </c>
      <c r="U124" s="18" t="s">
        <v>30</v>
      </c>
    </row>
    <row r="125" spans="1:21" ht="33.6" customHeight="1" thickTop="1" thickBot="1">
      <c r="A125" s="18" t="str">
        <f t="shared" si="1"/>
        <v>agosto</v>
      </c>
      <c r="B125" s="18" t="s">
        <v>645</v>
      </c>
      <c r="C125" s="7" t="s">
        <v>7</v>
      </c>
      <c r="D125" s="7" t="s">
        <v>8</v>
      </c>
      <c r="E125" s="18" t="s">
        <v>711</v>
      </c>
      <c r="F125" s="18" t="s">
        <v>712</v>
      </c>
      <c r="G125" s="19" t="s">
        <v>713</v>
      </c>
      <c r="H125" s="18" t="s">
        <v>37</v>
      </c>
      <c r="I125" s="18" t="s">
        <v>714</v>
      </c>
      <c r="J125" s="18" t="s">
        <v>59</v>
      </c>
      <c r="K125" s="20" t="s">
        <v>39</v>
      </c>
      <c r="L125" s="20">
        <v>1502</v>
      </c>
      <c r="M125" s="20" t="s">
        <v>715</v>
      </c>
      <c r="N125" s="20" t="s">
        <v>30</v>
      </c>
      <c r="O125" s="20" t="s">
        <v>30</v>
      </c>
      <c r="P125" s="20" t="s">
        <v>30</v>
      </c>
      <c r="Q125" s="21">
        <v>46244</v>
      </c>
      <c r="R125" s="21">
        <v>46244</v>
      </c>
      <c r="S125" s="20" t="s">
        <v>35</v>
      </c>
      <c r="T125" s="18" t="s">
        <v>31</v>
      </c>
      <c r="U125" s="18" t="s">
        <v>30</v>
      </c>
    </row>
    <row r="126" spans="1:21" ht="33.6" customHeight="1" thickTop="1" thickBot="1">
      <c r="A126" s="18" t="str">
        <f t="shared" si="1"/>
        <v>agosto</v>
      </c>
      <c r="B126" s="18" t="s">
        <v>646</v>
      </c>
      <c r="C126" s="7" t="s">
        <v>7</v>
      </c>
      <c r="D126" s="7" t="s">
        <v>8</v>
      </c>
      <c r="E126" s="18" t="s">
        <v>716</v>
      </c>
      <c r="F126" s="18" t="s">
        <v>717</v>
      </c>
      <c r="G126" s="19" t="s">
        <v>718</v>
      </c>
      <c r="H126" s="18" t="s">
        <v>37</v>
      </c>
      <c r="I126" s="18" t="s">
        <v>719</v>
      </c>
      <c r="J126" s="18" t="s">
        <v>59</v>
      </c>
      <c r="K126" s="20" t="s">
        <v>39</v>
      </c>
      <c r="L126" s="20">
        <v>1502</v>
      </c>
      <c r="M126" s="20" t="s">
        <v>720</v>
      </c>
      <c r="N126" s="20" t="s">
        <v>30</v>
      </c>
      <c r="O126" s="20" t="s">
        <v>30</v>
      </c>
      <c r="P126" s="20" t="s">
        <v>30</v>
      </c>
      <c r="Q126" s="21">
        <v>46244</v>
      </c>
      <c r="R126" s="21">
        <v>46244</v>
      </c>
      <c r="S126" s="20" t="s">
        <v>52</v>
      </c>
      <c r="T126" s="18" t="s">
        <v>31</v>
      </c>
      <c r="U126" s="18" t="s">
        <v>30</v>
      </c>
    </row>
    <row r="127" spans="1:21" ht="33.6" customHeight="1" thickTop="1" thickBot="1">
      <c r="A127" s="18" t="str">
        <f t="shared" si="1"/>
        <v>agosto</v>
      </c>
      <c r="B127" s="18" t="s">
        <v>447</v>
      </c>
      <c r="C127" s="7" t="s">
        <v>9</v>
      </c>
      <c r="D127" s="7" t="s">
        <v>10</v>
      </c>
      <c r="E127" s="18" t="s">
        <v>496</v>
      </c>
      <c r="F127" s="18" t="s">
        <v>497</v>
      </c>
      <c r="G127" s="19" t="s">
        <v>498</v>
      </c>
      <c r="H127" s="18" t="s">
        <v>40</v>
      </c>
      <c r="I127" s="18" t="s">
        <v>61</v>
      </c>
      <c r="J127" s="18" t="s">
        <v>38</v>
      </c>
      <c r="K127" s="20" t="s">
        <v>43</v>
      </c>
      <c r="L127" s="20">
        <v>1502</v>
      </c>
      <c r="M127" s="20" t="s">
        <v>736</v>
      </c>
      <c r="N127" s="20">
        <v>56</v>
      </c>
      <c r="O127" s="20" t="s">
        <v>30</v>
      </c>
      <c r="P127" s="20" t="s">
        <v>30</v>
      </c>
      <c r="Q127" s="21">
        <v>46239</v>
      </c>
      <c r="R127" s="21">
        <v>46245</v>
      </c>
      <c r="S127" s="20" t="s">
        <v>41</v>
      </c>
      <c r="T127" s="18" t="s">
        <v>42</v>
      </c>
      <c r="U127" s="20" t="s">
        <v>1113</v>
      </c>
    </row>
    <row r="128" spans="1:21" ht="33.6" customHeight="1" thickTop="1" thickBot="1">
      <c r="A128" s="18" t="str">
        <f t="shared" si="1"/>
        <v>agosto</v>
      </c>
      <c r="B128" s="18" t="s">
        <v>564</v>
      </c>
      <c r="C128" s="7" t="s">
        <v>7</v>
      </c>
      <c r="D128" s="7" t="s">
        <v>8</v>
      </c>
      <c r="E128" s="18" t="s">
        <v>587</v>
      </c>
      <c r="F128" s="18" t="s">
        <v>588</v>
      </c>
      <c r="G128" s="19" t="s">
        <v>589</v>
      </c>
      <c r="H128" s="18" t="s">
        <v>37</v>
      </c>
      <c r="I128" s="18" t="s">
        <v>590</v>
      </c>
      <c r="J128" s="18" t="s">
        <v>55</v>
      </c>
      <c r="K128" s="20" t="s">
        <v>39</v>
      </c>
      <c r="L128" s="20">
        <v>1501</v>
      </c>
      <c r="M128" s="20" t="s">
        <v>737</v>
      </c>
      <c r="N128" s="20" t="s">
        <v>30</v>
      </c>
      <c r="O128" s="20" t="s">
        <v>30</v>
      </c>
      <c r="P128" s="20" t="s">
        <v>30</v>
      </c>
      <c r="Q128" s="21">
        <v>46239</v>
      </c>
      <c r="R128" s="21">
        <v>46245</v>
      </c>
      <c r="S128" s="20" t="s">
        <v>53</v>
      </c>
      <c r="T128" s="18" t="s">
        <v>31</v>
      </c>
      <c r="U128" s="18" t="s">
        <v>30</v>
      </c>
    </row>
    <row r="129" spans="1:21" ht="33.6" customHeight="1" thickTop="1" thickBot="1">
      <c r="A129" s="18" t="str">
        <f t="shared" si="1"/>
        <v>agosto</v>
      </c>
      <c r="B129" s="18" t="s">
        <v>721</v>
      </c>
      <c r="C129" s="7" t="s">
        <v>7</v>
      </c>
      <c r="D129" s="7" t="s">
        <v>8</v>
      </c>
      <c r="E129" s="18" t="s">
        <v>1648</v>
      </c>
      <c r="F129" s="18" t="s">
        <v>739</v>
      </c>
      <c r="G129" s="19" t="s">
        <v>738</v>
      </c>
      <c r="H129" s="18" t="s">
        <v>32</v>
      </c>
      <c r="I129" s="18" t="s">
        <v>740</v>
      </c>
      <c r="J129" s="18" t="s">
        <v>50</v>
      </c>
      <c r="K129" s="20" t="s">
        <v>43</v>
      </c>
      <c r="L129" s="20">
        <v>1502</v>
      </c>
      <c r="M129" s="20" t="s">
        <v>741</v>
      </c>
      <c r="N129" s="20" t="s">
        <v>30</v>
      </c>
      <c r="O129" s="20" t="s">
        <v>30</v>
      </c>
      <c r="P129" s="20" t="s">
        <v>30</v>
      </c>
      <c r="Q129" s="21">
        <v>46244</v>
      </c>
      <c r="R129" s="21">
        <v>46245</v>
      </c>
      <c r="S129" s="20" t="s">
        <v>53</v>
      </c>
      <c r="T129" s="18" t="s">
        <v>31</v>
      </c>
      <c r="U129" s="20" t="s">
        <v>1113</v>
      </c>
    </row>
    <row r="130" spans="1:21" ht="33.6" customHeight="1" thickTop="1" thickBot="1">
      <c r="A130" s="18" t="str">
        <f t="shared" si="1"/>
        <v>agosto</v>
      </c>
      <c r="B130" s="18" t="s">
        <v>722</v>
      </c>
      <c r="C130" s="7" t="s">
        <v>7</v>
      </c>
      <c r="D130" s="7" t="s">
        <v>8</v>
      </c>
      <c r="E130" s="18" t="s">
        <v>1649</v>
      </c>
      <c r="F130" s="18" t="s">
        <v>743</v>
      </c>
      <c r="G130" s="19" t="s">
        <v>742</v>
      </c>
      <c r="H130" s="18" t="s">
        <v>32</v>
      </c>
      <c r="I130" s="18" t="s">
        <v>744</v>
      </c>
      <c r="J130" s="18" t="s">
        <v>57</v>
      </c>
      <c r="K130" s="20" t="s">
        <v>43</v>
      </c>
      <c r="L130" s="20">
        <v>1502</v>
      </c>
      <c r="M130" s="20" t="s">
        <v>745</v>
      </c>
      <c r="N130" s="20" t="s">
        <v>30</v>
      </c>
      <c r="O130" s="20" t="s">
        <v>30</v>
      </c>
      <c r="P130" s="20" t="s">
        <v>30</v>
      </c>
      <c r="Q130" s="21">
        <v>46244</v>
      </c>
      <c r="R130" s="21">
        <v>46245</v>
      </c>
      <c r="S130" s="20" t="s">
        <v>35</v>
      </c>
      <c r="T130" s="18" t="s">
        <v>31</v>
      </c>
      <c r="U130" s="20" t="s">
        <v>1113</v>
      </c>
    </row>
    <row r="131" spans="1:21" ht="33.6" customHeight="1" thickTop="1" thickBot="1">
      <c r="A131" s="18" t="str">
        <f t="shared" ref="A131:A194" si="2">TEXT(R131,"MMMM")</f>
        <v>agosto</v>
      </c>
      <c r="B131" s="18" t="s">
        <v>723</v>
      </c>
      <c r="C131" s="7" t="s">
        <v>7</v>
      </c>
      <c r="D131" s="7" t="s">
        <v>8</v>
      </c>
      <c r="E131" s="18" t="s">
        <v>1650</v>
      </c>
      <c r="F131" s="18" t="s">
        <v>747</v>
      </c>
      <c r="G131" s="19" t="s">
        <v>746</v>
      </c>
      <c r="H131" s="18" t="s">
        <v>46</v>
      </c>
      <c r="I131" s="18" t="s">
        <v>748</v>
      </c>
      <c r="J131" s="18" t="s">
        <v>51</v>
      </c>
      <c r="K131" s="20" t="s">
        <v>43</v>
      </c>
      <c r="L131" s="20">
        <v>1502</v>
      </c>
      <c r="M131" s="20" t="s">
        <v>749</v>
      </c>
      <c r="N131" s="20" t="s">
        <v>30</v>
      </c>
      <c r="O131" s="20" t="s">
        <v>30</v>
      </c>
      <c r="P131" s="20" t="s">
        <v>30</v>
      </c>
      <c r="Q131" s="21">
        <v>46244</v>
      </c>
      <c r="R131" s="21">
        <v>46245</v>
      </c>
      <c r="S131" s="20" t="s">
        <v>49</v>
      </c>
      <c r="T131" s="18" t="s">
        <v>31</v>
      </c>
      <c r="U131" s="20" t="s">
        <v>1113</v>
      </c>
    </row>
    <row r="132" spans="1:21" ht="33.6" customHeight="1" thickTop="1" thickBot="1">
      <c r="A132" s="18" t="str">
        <f t="shared" si="2"/>
        <v>agosto</v>
      </c>
      <c r="B132" s="18" t="s">
        <v>634</v>
      </c>
      <c r="C132" s="7" t="s">
        <v>7</v>
      </c>
      <c r="D132" s="7" t="s">
        <v>8</v>
      </c>
      <c r="E132" s="18" t="s">
        <v>658</v>
      </c>
      <c r="F132" s="18" t="s">
        <v>659</v>
      </c>
      <c r="G132" s="19" t="s">
        <v>660</v>
      </c>
      <c r="H132" s="18" t="s">
        <v>32</v>
      </c>
      <c r="I132" s="18" t="s">
        <v>661</v>
      </c>
      <c r="J132" s="18" t="s">
        <v>33</v>
      </c>
      <c r="K132" s="20" t="s">
        <v>39</v>
      </c>
      <c r="L132" s="20">
        <v>1502</v>
      </c>
      <c r="M132" s="20" t="s">
        <v>750</v>
      </c>
      <c r="N132" s="20" t="s">
        <v>30</v>
      </c>
      <c r="O132" s="20" t="s">
        <v>30</v>
      </c>
      <c r="P132" s="20" t="s">
        <v>30</v>
      </c>
      <c r="Q132" s="21">
        <v>46240</v>
      </c>
      <c r="R132" s="21">
        <v>46245</v>
      </c>
      <c r="S132" s="20" t="s">
        <v>52</v>
      </c>
      <c r="T132" s="18" t="s">
        <v>31</v>
      </c>
      <c r="U132" s="18" t="s">
        <v>30</v>
      </c>
    </row>
    <row r="133" spans="1:21" ht="33.6" customHeight="1" thickTop="1" thickBot="1">
      <c r="A133" s="18" t="str">
        <f t="shared" si="2"/>
        <v>agosto</v>
      </c>
      <c r="B133" s="18" t="s">
        <v>724</v>
      </c>
      <c r="C133" s="7" t="s">
        <v>7</v>
      </c>
      <c r="D133" s="7" t="s">
        <v>8</v>
      </c>
      <c r="E133" s="18" t="s">
        <v>1651</v>
      </c>
      <c r="F133" s="18" t="s">
        <v>752</v>
      </c>
      <c r="G133" s="19" t="s">
        <v>751</v>
      </c>
      <c r="H133" s="18" t="s">
        <v>32</v>
      </c>
      <c r="I133" s="18" t="s">
        <v>753</v>
      </c>
      <c r="J133" s="18" t="s">
        <v>50</v>
      </c>
      <c r="K133" s="20" t="s">
        <v>34</v>
      </c>
      <c r="L133" s="20">
        <v>1502</v>
      </c>
      <c r="M133" s="20" t="s">
        <v>754</v>
      </c>
      <c r="N133" s="20" t="s">
        <v>30</v>
      </c>
      <c r="O133" s="20" t="s">
        <v>30</v>
      </c>
      <c r="P133" s="20" t="s">
        <v>30</v>
      </c>
      <c r="Q133" s="21">
        <v>46244</v>
      </c>
      <c r="R133" s="21">
        <v>46245</v>
      </c>
      <c r="S133" s="20" t="s">
        <v>53</v>
      </c>
      <c r="T133" s="18" t="s">
        <v>31</v>
      </c>
      <c r="U133" s="18" t="s">
        <v>30</v>
      </c>
    </row>
    <row r="134" spans="1:21" ht="33.6" customHeight="1" thickTop="1" thickBot="1">
      <c r="A134" s="18" t="str">
        <f t="shared" si="2"/>
        <v>agosto</v>
      </c>
      <c r="B134" s="18" t="s">
        <v>725</v>
      </c>
      <c r="C134" s="7" t="s">
        <v>7</v>
      </c>
      <c r="D134" s="7" t="s">
        <v>8</v>
      </c>
      <c r="E134" s="18" t="s">
        <v>1652</v>
      </c>
      <c r="F134" s="18" t="s">
        <v>756</v>
      </c>
      <c r="G134" s="19" t="s">
        <v>755</v>
      </c>
      <c r="H134" s="18" t="s">
        <v>32</v>
      </c>
      <c r="I134" s="18" t="s">
        <v>757</v>
      </c>
      <c r="J134" s="18" t="s">
        <v>51</v>
      </c>
      <c r="K134" s="20" t="s">
        <v>43</v>
      </c>
      <c r="L134" s="20">
        <v>1502</v>
      </c>
      <c r="M134" s="20" t="s">
        <v>758</v>
      </c>
      <c r="N134" s="20">
        <v>30</v>
      </c>
      <c r="O134" s="20" t="s">
        <v>30</v>
      </c>
      <c r="P134" s="20" t="s">
        <v>30</v>
      </c>
      <c r="Q134" s="21">
        <v>46244</v>
      </c>
      <c r="R134" s="21">
        <v>46245</v>
      </c>
      <c r="S134" s="20" t="s">
        <v>49</v>
      </c>
      <c r="T134" s="18" t="s">
        <v>31</v>
      </c>
      <c r="U134" s="20" t="s">
        <v>1113</v>
      </c>
    </row>
    <row r="135" spans="1:21" ht="33.6" customHeight="1" thickTop="1" thickBot="1">
      <c r="A135" s="18" t="str">
        <f t="shared" si="2"/>
        <v>agosto</v>
      </c>
      <c r="B135" s="18" t="s">
        <v>635</v>
      </c>
      <c r="C135" s="7" t="s">
        <v>9</v>
      </c>
      <c r="D135" s="7" t="s">
        <v>10</v>
      </c>
      <c r="E135" s="18" t="s">
        <v>663</v>
      </c>
      <c r="F135" s="18" t="s">
        <v>664</v>
      </c>
      <c r="G135" s="19" t="s">
        <v>665</v>
      </c>
      <c r="H135" s="18" t="s">
        <v>40</v>
      </c>
      <c r="I135" s="18" t="s">
        <v>666</v>
      </c>
      <c r="J135" s="18" t="s">
        <v>38</v>
      </c>
      <c r="K135" s="20" t="s">
        <v>43</v>
      </c>
      <c r="L135" s="20">
        <v>1502</v>
      </c>
      <c r="M135" s="20" t="s">
        <v>66</v>
      </c>
      <c r="N135" s="20" t="s">
        <v>30</v>
      </c>
      <c r="O135" s="20" t="s">
        <v>30</v>
      </c>
      <c r="P135" s="20" t="s">
        <v>30</v>
      </c>
      <c r="Q135" s="21">
        <v>46240</v>
      </c>
      <c r="R135" s="21">
        <v>46245</v>
      </c>
      <c r="S135" s="20" t="s">
        <v>41</v>
      </c>
      <c r="T135" s="18" t="s">
        <v>42</v>
      </c>
      <c r="U135" s="20" t="s">
        <v>1113</v>
      </c>
    </row>
    <row r="136" spans="1:21" ht="33.6" customHeight="1" thickTop="1" thickBot="1">
      <c r="A136" s="18" t="str">
        <f t="shared" si="2"/>
        <v>agosto</v>
      </c>
      <c r="B136" s="18" t="s">
        <v>726</v>
      </c>
      <c r="C136" s="7" t="s">
        <v>9</v>
      </c>
      <c r="D136" s="7" t="s">
        <v>10</v>
      </c>
      <c r="E136" s="18" t="s">
        <v>1653</v>
      </c>
      <c r="F136" s="18" t="s">
        <v>760</v>
      </c>
      <c r="G136" s="19" t="s">
        <v>759</v>
      </c>
      <c r="H136" s="18" t="s">
        <v>37</v>
      </c>
      <c r="I136" s="18" t="s">
        <v>761</v>
      </c>
      <c r="J136" s="18" t="s">
        <v>60</v>
      </c>
      <c r="K136" s="20" t="s">
        <v>34</v>
      </c>
      <c r="L136" s="20">
        <v>1502</v>
      </c>
      <c r="M136" s="20" t="s">
        <v>762</v>
      </c>
      <c r="N136" s="20" t="s">
        <v>30</v>
      </c>
      <c r="O136" s="20" t="s">
        <v>30</v>
      </c>
      <c r="P136" s="20" t="s">
        <v>30</v>
      </c>
      <c r="Q136" s="21">
        <v>46244</v>
      </c>
      <c r="R136" s="21">
        <v>46245</v>
      </c>
      <c r="S136" s="20" t="s">
        <v>41</v>
      </c>
      <c r="T136" s="18" t="s">
        <v>42</v>
      </c>
      <c r="U136" s="18" t="s">
        <v>30</v>
      </c>
    </row>
    <row r="137" spans="1:21" ht="33.6" customHeight="1" thickTop="1" thickBot="1">
      <c r="A137" s="18" t="str">
        <f t="shared" si="2"/>
        <v>agosto</v>
      </c>
      <c r="B137" s="18" t="s">
        <v>727</v>
      </c>
      <c r="C137" s="7" t="s">
        <v>7</v>
      </c>
      <c r="D137" s="7" t="s">
        <v>8</v>
      </c>
      <c r="E137" s="18" t="s">
        <v>1654</v>
      </c>
      <c r="F137" s="18" t="s">
        <v>764</v>
      </c>
      <c r="G137" s="19" t="s">
        <v>763</v>
      </c>
      <c r="H137" s="18" t="s">
        <v>64</v>
      </c>
      <c r="I137" s="18" t="s">
        <v>765</v>
      </c>
      <c r="J137" s="18" t="s">
        <v>55</v>
      </c>
      <c r="K137" s="20" t="s">
        <v>43</v>
      </c>
      <c r="L137" s="20">
        <v>1502</v>
      </c>
      <c r="M137" s="20" t="s">
        <v>766</v>
      </c>
      <c r="N137" s="20">
        <v>20</v>
      </c>
      <c r="O137" s="20" t="s">
        <v>30</v>
      </c>
      <c r="P137" s="20" t="s">
        <v>30</v>
      </c>
      <c r="Q137" s="21">
        <v>46244</v>
      </c>
      <c r="R137" s="21">
        <v>46245</v>
      </c>
      <c r="S137" s="20" t="s">
        <v>49</v>
      </c>
      <c r="T137" s="18" t="s">
        <v>31</v>
      </c>
      <c r="U137" s="20" t="s">
        <v>1113</v>
      </c>
    </row>
    <row r="138" spans="1:21" ht="33.6" customHeight="1" thickTop="1" thickBot="1">
      <c r="A138" s="18" t="str">
        <f t="shared" si="2"/>
        <v>agosto</v>
      </c>
      <c r="B138" s="18" t="s">
        <v>728</v>
      </c>
      <c r="C138" s="7" t="s">
        <v>7</v>
      </c>
      <c r="D138" s="7" t="s">
        <v>8</v>
      </c>
      <c r="E138" s="18" t="s">
        <v>1655</v>
      </c>
      <c r="F138" s="18" t="s">
        <v>768</v>
      </c>
      <c r="G138" s="19" t="s">
        <v>767</v>
      </c>
      <c r="H138" s="18" t="s">
        <v>32</v>
      </c>
      <c r="I138" s="18" t="s">
        <v>769</v>
      </c>
      <c r="J138" s="18" t="s">
        <v>57</v>
      </c>
      <c r="K138" s="20" t="s">
        <v>43</v>
      </c>
      <c r="L138" s="20">
        <v>1502</v>
      </c>
      <c r="M138" s="20" t="s">
        <v>770</v>
      </c>
      <c r="N138" s="20">
        <v>60</v>
      </c>
      <c r="O138" s="20" t="s">
        <v>30</v>
      </c>
      <c r="P138" s="20" t="s">
        <v>30</v>
      </c>
      <c r="Q138" s="21">
        <v>46244</v>
      </c>
      <c r="R138" s="21">
        <v>46245</v>
      </c>
      <c r="S138" s="20" t="s">
        <v>35</v>
      </c>
      <c r="T138" s="18" t="s">
        <v>31</v>
      </c>
      <c r="U138" s="20" t="s">
        <v>1114</v>
      </c>
    </row>
    <row r="139" spans="1:21" ht="33.6" customHeight="1" thickTop="1" thickBot="1">
      <c r="A139" s="18" t="str">
        <f t="shared" si="2"/>
        <v>agosto</v>
      </c>
      <c r="B139" s="18" t="s">
        <v>729</v>
      </c>
      <c r="C139" s="7" t="s">
        <v>7</v>
      </c>
      <c r="D139" s="7" t="s">
        <v>8</v>
      </c>
      <c r="E139" s="18" t="s">
        <v>771</v>
      </c>
      <c r="F139" s="18" t="s">
        <v>772</v>
      </c>
      <c r="G139" s="19" t="s">
        <v>771</v>
      </c>
      <c r="H139" s="18" t="s">
        <v>32</v>
      </c>
      <c r="I139" s="18" t="s">
        <v>773</v>
      </c>
      <c r="J139" s="18" t="s">
        <v>50</v>
      </c>
      <c r="K139" s="20" t="s">
        <v>43</v>
      </c>
      <c r="L139" s="20">
        <v>1502</v>
      </c>
      <c r="M139" s="20" t="s">
        <v>774</v>
      </c>
      <c r="N139" s="20" t="s">
        <v>30</v>
      </c>
      <c r="O139" s="20" t="s">
        <v>30</v>
      </c>
      <c r="P139" s="20" t="s">
        <v>30</v>
      </c>
      <c r="Q139" s="21">
        <v>46244</v>
      </c>
      <c r="R139" s="21">
        <v>46245</v>
      </c>
      <c r="S139" s="20" t="s">
        <v>52</v>
      </c>
      <c r="T139" s="18" t="s">
        <v>31</v>
      </c>
      <c r="U139" s="20" t="s">
        <v>1113</v>
      </c>
    </row>
    <row r="140" spans="1:21" ht="33.6" customHeight="1" thickTop="1" thickBot="1">
      <c r="A140" s="18" t="str">
        <f t="shared" si="2"/>
        <v>agosto</v>
      </c>
      <c r="B140" s="18" t="s">
        <v>730</v>
      </c>
      <c r="E140" s="18" t="s">
        <v>1656</v>
      </c>
      <c r="F140" s="18" t="s">
        <v>776</v>
      </c>
      <c r="G140" s="19" t="s">
        <v>775</v>
      </c>
      <c r="H140" s="18" t="s">
        <v>32</v>
      </c>
      <c r="I140" s="18" t="s">
        <v>777</v>
      </c>
      <c r="J140" s="18" t="s">
        <v>51</v>
      </c>
      <c r="K140" s="20" t="s">
        <v>34</v>
      </c>
      <c r="L140" s="20">
        <v>1502</v>
      </c>
      <c r="M140" s="20" t="s">
        <v>778</v>
      </c>
      <c r="N140" s="20" t="s">
        <v>30</v>
      </c>
      <c r="O140" s="20" t="s">
        <v>30</v>
      </c>
      <c r="P140" s="20" t="s">
        <v>30</v>
      </c>
      <c r="Q140" s="21">
        <v>46244</v>
      </c>
      <c r="R140" s="21">
        <v>46245</v>
      </c>
      <c r="S140" s="20" t="s">
        <v>56</v>
      </c>
      <c r="T140" s="18" t="s">
        <v>30</v>
      </c>
      <c r="U140" s="18" t="s">
        <v>30</v>
      </c>
    </row>
    <row r="141" spans="1:21" ht="33.6" customHeight="1" thickTop="1" thickBot="1">
      <c r="A141" s="18" t="str">
        <f t="shared" si="2"/>
        <v>agosto</v>
      </c>
      <c r="B141" s="18" t="s">
        <v>731</v>
      </c>
      <c r="E141" s="18" t="s">
        <v>1112</v>
      </c>
      <c r="F141" s="18" t="s">
        <v>780</v>
      </c>
      <c r="G141" s="19" t="s">
        <v>779</v>
      </c>
      <c r="H141" s="18" t="s">
        <v>37</v>
      </c>
      <c r="I141" s="18" t="s">
        <v>781</v>
      </c>
      <c r="J141" s="18" t="s">
        <v>59</v>
      </c>
      <c r="K141" s="20" t="s">
        <v>34</v>
      </c>
      <c r="L141" s="20">
        <v>1502</v>
      </c>
      <c r="M141" s="20" t="s">
        <v>782</v>
      </c>
      <c r="N141" s="20" t="s">
        <v>30</v>
      </c>
      <c r="O141" s="20" t="s">
        <v>30</v>
      </c>
      <c r="P141" s="20" t="s">
        <v>30</v>
      </c>
      <c r="Q141" s="21">
        <v>46244</v>
      </c>
      <c r="R141" s="21">
        <v>46245</v>
      </c>
      <c r="S141" s="20" t="s">
        <v>56</v>
      </c>
      <c r="T141" s="18" t="s">
        <v>30</v>
      </c>
      <c r="U141" s="18" t="s">
        <v>30</v>
      </c>
    </row>
    <row r="142" spans="1:21" ht="33.6" customHeight="1" thickTop="1" thickBot="1">
      <c r="A142" s="18" t="str">
        <f t="shared" si="2"/>
        <v>agosto</v>
      </c>
      <c r="B142" s="18" t="s">
        <v>646</v>
      </c>
      <c r="C142" s="7" t="s">
        <v>7</v>
      </c>
      <c r="D142" s="7" t="s">
        <v>8</v>
      </c>
      <c r="E142" s="18" t="s">
        <v>716</v>
      </c>
      <c r="F142" s="18" t="s">
        <v>717</v>
      </c>
      <c r="G142" s="19" t="s">
        <v>718</v>
      </c>
      <c r="H142" s="18" t="s">
        <v>37</v>
      </c>
      <c r="I142" s="18" t="s">
        <v>719</v>
      </c>
      <c r="J142" s="18" t="s">
        <v>59</v>
      </c>
      <c r="K142" s="20" t="s">
        <v>43</v>
      </c>
      <c r="L142" s="20">
        <v>1502</v>
      </c>
      <c r="M142" s="20" t="s">
        <v>783</v>
      </c>
      <c r="N142" s="20" t="s">
        <v>30</v>
      </c>
      <c r="O142" s="20">
        <v>150</v>
      </c>
      <c r="P142" s="20">
        <v>2</v>
      </c>
      <c r="Q142" s="21">
        <v>46244</v>
      </c>
      <c r="R142" s="21">
        <v>46245</v>
      </c>
      <c r="S142" s="20" t="s">
        <v>52</v>
      </c>
      <c r="T142" s="18" t="s">
        <v>31</v>
      </c>
      <c r="U142" s="20" t="s">
        <v>1113</v>
      </c>
    </row>
    <row r="143" spans="1:21" ht="33.6" customHeight="1" thickTop="1" thickBot="1">
      <c r="A143" s="18" t="str">
        <f t="shared" si="2"/>
        <v>agosto</v>
      </c>
      <c r="B143" s="18" t="s">
        <v>732</v>
      </c>
      <c r="E143" s="18" t="s">
        <v>1657</v>
      </c>
      <c r="F143" s="18" t="s">
        <v>785</v>
      </c>
      <c r="G143" s="19" t="s">
        <v>784</v>
      </c>
      <c r="H143" s="18" t="s">
        <v>46</v>
      </c>
      <c r="I143" s="18" t="s">
        <v>786</v>
      </c>
      <c r="J143" s="18" t="s">
        <v>51</v>
      </c>
      <c r="K143" s="20" t="s">
        <v>34</v>
      </c>
      <c r="L143" s="20">
        <v>1502</v>
      </c>
      <c r="M143" s="20" t="s">
        <v>787</v>
      </c>
      <c r="N143" s="20" t="s">
        <v>30</v>
      </c>
      <c r="O143" s="20" t="s">
        <v>30</v>
      </c>
      <c r="P143" s="20" t="s">
        <v>30</v>
      </c>
      <c r="Q143" s="21">
        <v>46245</v>
      </c>
      <c r="R143" s="21">
        <v>46245</v>
      </c>
      <c r="S143" s="20" t="s">
        <v>56</v>
      </c>
      <c r="T143" s="18" t="s">
        <v>30</v>
      </c>
      <c r="U143" s="18" t="s">
        <v>30</v>
      </c>
    </row>
    <row r="144" spans="1:21" ht="33.6" customHeight="1" thickTop="1" thickBot="1">
      <c r="A144" s="18" t="str">
        <f t="shared" si="2"/>
        <v>agosto</v>
      </c>
      <c r="B144" s="18" t="s">
        <v>733</v>
      </c>
      <c r="E144" s="18" t="s">
        <v>1658</v>
      </c>
      <c r="F144" s="18" t="s">
        <v>789</v>
      </c>
      <c r="G144" s="19" t="s">
        <v>788</v>
      </c>
      <c r="H144" s="18" t="s">
        <v>37</v>
      </c>
      <c r="I144" s="18" t="s">
        <v>790</v>
      </c>
      <c r="J144" s="18" t="s">
        <v>60</v>
      </c>
      <c r="K144" s="20" t="s">
        <v>34</v>
      </c>
      <c r="L144" s="20">
        <v>1502</v>
      </c>
      <c r="M144" s="20" t="s">
        <v>791</v>
      </c>
      <c r="N144" s="20" t="s">
        <v>30</v>
      </c>
      <c r="O144" s="20" t="s">
        <v>30</v>
      </c>
      <c r="P144" s="20" t="s">
        <v>30</v>
      </c>
      <c r="Q144" s="21">
        <v>46245</v>
      </c>
      <c r="R144" s="21">
        <v>46245</v>
      </c>
      <c r="S144" s="20" t="s">
        <v>56</v>
      </c>
      <c r="T144" s="18" t="s">
        <v>30</v>
      </c>
      <c r="U144" s="18" t="s">
        <v>30</v>
      </c>
    </row>
    <row r="145" spans="1:21" ht="33.6" customHeight="1" thickTop="1" thickBot="1">
      <c r="A145" s="18" t="str">
        <f t="shared" si="2"/>
        <v>agosto</v>
      </c>
      <c r="B145" s="18" t="s">
        <v>734</v>
      </c>
      <c r="E145" s="18" t="s">
        <v>792</v>
      </c>
      <c r="F145" s="18" t="s">
        <v>793</v>
      </c>
      <c r="G145" s="19" t="s">
        <v>792</v>
      </c>
      <c r="H145" s="18" t="s">
        <v>37</v>
      </c>
      <c r="I145" s="18" t="s">
        <v>794</v>
      </c>
      <c r="J145" s="18" t="s">
        <v>59</v>
      </c>
      <c r="K145" s="20" t="s">
        <v>34</v>
      </c>
      <c r="L145" s="20">
        <v>1502</v>
      </c>
      <c r="M145" s="20" t="s">
        <v>795</v>
      </c>
      <c r="N145" s="20" t="s">
        <v>30</v>
      </c>
      <c r="O145" s="20" t="s">
        <v>30</v>
      </c>
      <c r="P145" s="20" t="s">
        <v>30</v>
      </c>
      <c r="Q145" s="21">
        <v>46245</v>
      </c>
      <c r="R145" s="21">
        <v>46245</v>
      </c>
      <c r="S145" s="20" t="s">
        <v>56</v>
      </c>
      <c r="T145" s="18" t="s">
        <v>30</v>
      </c>
      <c r="U145" s="18" t="s">
        <v>30</v>
      </c>
    </row>
    <row r="146" spans="1:21" ht="33.6" customHeight="1" thickTop="1" thickBot="1">
      <c r="A146" s="18" t="str">
        <f t="shared" si="2"/>
        <v>agosto</v>
      </c>
      <c r="B146" s="18" t="s">
        <v>735</v>
      </c>
      <c r="E146" s="18" t="s">
        <v>796</v>
      </c>
      <c r="F146" s="18" t="s">
        <v>797</v>
      </c>
      <c r="G146" s="19" t="s">
        <v>796</v>
      </c>
      <c r="H146" s="18" t="s">
        <v>37</v>
      </c>
      <c r="I146" s="18" t="s">
        <v>794</v>
      </c>
      <c r="J146" s="18" t="s">
        <v>59</v>
      </c>
      <c r="K146" s="20" t="s">
        <v>34</v>
      </c>
      <c r="L146" s="20">
        <v>1502</v>
      </c>
      <c r="M146" s="20" t="s">
        <v>795</v>
      </c>
      <c r="N146" s="20" t="s">
        <v>30</v>
      </c>
      <c r="O146" s="20" t="s">
        <v>30</v>
      </c>
      <c r="P146" s="20" t="s">
        <v>30</v>
      </c>
      <c r="Q146" s="21">
        <v>46245</v>
      </c>
      <c r="R146" s="21">
        <v>46245</v>
      </c>
      <c r="S146" s="20" t="s">
        <v>56</v>
      </c>
      <c r="T146" s="18" t="s">
        <v>30</v>
      </c>
      <c r="U146" s="18" t="s">
        <v>30</v>
      </c>
    </row>
    <row r="147" spans="1:21" ht="33.6" customHeight="1" thickTop="1" thickBot="1">
      <c r="A147" s="18" t="str">
        <f t="shared" si="2"/>
        <v>agosto</v>
      </c>
      <c r="B147" s="18" t="s">
        <v>798</v>
      </c>
      <c r="C147" s="7" t="s">
        <v>7</v>
      </c>
      <c r="D147" s="7" t="s">
        <v>8</v>
      </c>
      <c r="E147" s="18" t="s">
        <v>814</v>
      </c>
      <c r="F147" s="18" t="s">
        <v>815</v>
      </c>
      <c r="G147" s="19" t="s">
        <v>816</v>
      </c>
      <c r="H147" s="18" t="s">
        <v>32</v>
      </c>
      <c r="I147" s="18" t="s">
        <v>817</v>
      </c>
      <c r="J147" s="18" t="s">
        <v>51</v>
      </c>
      <c r="K147" s="20" t="s">
        <v>43</v>
      </c>
      <c r="L147" s="20">
        <v>1502</v>
      </c>
      <c r="M147" s="20" t="s">
        <v>818</v>
      </c>
      <c r="N147" s="20">
        <v>20</v>
      </c>
      <c r="O147" s="20" t="s">
        <v>30</v>
      </c>
      <c r="P147" s="20" t="s">
        <v>30</v>
      </c>
      <c r="Q147" s="21">
        <v>46244</v>
      </c>
      <c r="R147" s="21">
        <v>46246</v>
      </c>
      <c r="S147" s="20" t="s">
        <v>49</v>
      </c>
      <c r="T147" s="18" t="s">
        <v>31</v>
      </c>
      <c r="U147" s="20" t="s">
        <v>1113</v>
      </c>
    </row>
    <row r="148" spans="1:21" ht="33.6" customHeight="1" thickTop="1" thickBot="1">
      <c r="A148" s="18" t="str">
        <f t="shared" si="2"/>
        <v>agosto</v>
      </c>
      <c r="B148" s="18" t="s">
        <v>634</v>
      </c>
      <c r="C148" s="7" t="s">
        <v>7</v>
      </c>
      <c r="D148" s="7" t="s">
        <v>8</v>
      </c>
      <c r="E148" s="18" t="s">
        <v>658</v>
      </c>
      <c r="F148" s="18" t="s">
        <v>659</v>
      </c>
      <c r="G148" s="19" t="s">
        <v>660</v>
      </c>
      <c r="H148" s="18" t="s">
        <v>32</v>
      </c>
      <c r="I148" s="18" t="s">
        <v>661</v>
      </c>
      <c r="J148" s="18" t="s">
        <v>33</v>
      </c>
      <c r="K148" s="20" t="s">
        <v>34</v>
      </c>
      <c r="L148" s="20">
        <v>1502</v>
      </c>
      <c r="M148" s="20" t="s">
        <v>819</v>
      </c>
      <c r="N148" s="20" t="s">
        <v>30</v>
      </c>
      <c r="O148" s="20" t="s">
        <v>30</v>
      </c>
      <c r="P148" s="20" t="s">
        <v>30</v>
      </c>
      <c r="Q148" s="21">
        <v>46240</v>
      </c>
      <c r="R148" s="21">
        <v>46246</v>
      </c>
      <c r="S148" s="20" t="s">
        <v>52</v>
      </c>
      <c r="T148" s="18" t="s">
        <v>31</v>
      </c>
      <c r="U148" s="18" t="s">
        <v>30</v>
      </c>
    </row>
    <row r="149" spans="1:21" ht="33.6" customHeight="1" thickTop="1" thickBot="1">
      <c r="A149" s="18" t="str">
        <f t="shared" si="2"/>
        <v>agosto</v>
      </c>
      <c r="B149" s="18" t="s">
        <v>799</v>
      </c>
      <c r="C149" s="7" t="s">
        <v>7</v>
      </c>
      <c r="D149" s="7" t="s">
        <v>8</v>
      </c>
      <c r="E149" s="18" t="s">
        <v>820</v>
      </c>
      <c r="F149" s="18" t="s">
        <v>821</v>
      </c>
      <c r="G149" s="19" t="s">
        <v>822</v>
      </c>
      <c r="H149" s="18" t="s">
        <v>40</v>
      </c>
      <c r="I149" s="18" t="s">
        <v>823</v>
      </c>
      <c r="J149" s="18" t="s">
        <v>62</v>
      </c>
      <c r="K149" s="20" t="s">
        <v>43</v>
      </c>
      <c r="L149" s="20">
        <v>1502</v>
      </c>
      <c r="M149" s="20" t="s">
        <v>824</v>
      </c>
      <c r="N149" s="20" t="s">
        <v>30</v>
      </c>
      <c r="O149" s="20" t="s">
        <v>30</v>
      </c>
      <c r="P149" s="20" t="s">
        <v>30</v>
      </c>
      <c r="Q149" s="21">
        <v>46242</v>
      </c>
      <c r="R149" s="21">
        <v>46246</v>
      </c>
      <c r="S149" s="20" t="s">
        <v>35</v>
      </c>
      <c r="T149" s="18" t="s">
        <v>31</v>
      </c>
      <c r="U149" s="20" t="s">
        <v>1113</v>
      </c>
    </row>
    <row r="150" spans="1:21" ht="33.6" customHeight="1" thickTop="1" thickBot="1">
      <c r="A150" s="18" t="str">
        <f t="shared" si="2"/>
        <v>agosto</v>
      </c>
      <c r="B150" s="18" t="s">
        <v>800</v>
      </c>
      <c r="C150" s="7" t="s">
        <v>7</v>
      </c>
      <c r="D150" s="7" t="s">
        <v>8</v>
      </c>
      <c r="E150" s="18" t="s">
        <v>825</v>
      </c>
      <c r="F150" s="18" t="s">
        <v>826</v>
      </c>
      <c r="G150" s="19" t="s">
        <v>827</v>
      </c>
      <c r="H150" s="18" t="s">
        <v>64</v>
      </c>
      <c r="I150" s="18" t="s">
        <v>828</v>
      </c>
      <c r="J150" s="18" t="s">
        <v>55</v>
      </c>
      <c r="K150" s="20" t="s">
        <v>34</v>
      </c>
      <c r="L150" s="20">
        <v>1502</v>
      </c>
      <c r="M150" s="20" t="s">
        <v>829</v>
      </c>
      <c r="N150" s="20" t="s">
        <v>30</v>
      </c>
      <c r="O150" s="20" t="s">
        <v>30</v>
      </c>
      <c r="P150" s="20" t="s">
        <v>30</v>
      </c>
      <c r="Q150" s="21">
        <v>46239</v>
      </c>
      <c r="R150" s="21">
        <v>46246</v>
      </c>
      <c r="S150" s="20" t="s">
        <v>53</v>
      </c>
      <c r="T150" s="18" t="s">
        <v>31</v>
      </c>
      <c r="U150" s="18" t="s">
        <v>30</v>
      </c>
    </row>
    <row r="151" spans="1:21" ht="33.6" customHeight="1" thickTop="1" thickBot="1">
      <c r="A151" s="18" t="str">
        <f t="shared" si="2"/>
        <v>agosto</v>
      </c>
      <c r="B151" s="18" t="s">
        <v>801</v>
      </c>
      <c r="C151" s="7" t="s">
        <v>7</v>
      </c>
      <c r="D151" s="7" t="s">
        <v>8</v>
      </c>
      <c r="E151" s="18" t="s">
        <v>830</v>
      </c>
      <c r="F151" s="18" t="s">
        <v>831</v>
      </c>
      <c r="G151" s="19" t="s">
        <v>832</v>
      </c>
      <c r="H151" s="18" t="s">
        <v>64</v>
      </c>
      <c r="I151" s="18" t="s">
        <v>833</v>
      </c>
      <c r="J151" s="18" t="s">
        <v>55</v>
      </c>
      <c r="K151" s="20" t="s">
        <v>43</v>
      </c>
      <c r="L151" s="20">
        <v>1502</v>
      </c>
      <c r="M151" s="20" t="s">
        <v>834</v>
      </c>
      <c r="N151" s="20">
        <v>75</v>
      </c>
      <c r="O151" s="20" t="s">
        <v>30</v>
      </c>
      <c r="P151" s="20" t="s">
        <v>30</v>
      </c>
      <c r="Q151" s="21">
        <v>46245</v>
      </c>
      <c r="R151" s="21">
        <v>46246</v>
      </c>
      <c r="S151" s="20" t="s">
        <v>53</v>
      </c>
      <c r="T151" s="18" t="s">
        <v>31</v>
      </c>
      <c r="U151" s="20" t="s">
        <v>1113</v>
      </c>
    </row>
    <row r="152" spans="1:21" ht="33.6" customHeight="1" thickTop="1" thickBot="1">
      <c r="A152" s="18" t="str">
        <f t="shared" si="2"/>
        <v>agosto</v>
      </c>
      <c r="B152" s="18" t="s">
        <v>802</v>
      </c>
      <c r="C152" s="7" t="s">
        <v>7</v>
      </c>
      <c r="D152" s="7" t="s">
        <v>8</v>
      </c>
      <c r="E152" s="18" t="s">
        <v>835</v>
      </c>
      <c r="F152" s="18" t="s">
        <v>836</v>
      </c>
      <c r="G152" s="19" t="s">
        <v>837</v>
      </c>
      <c r="H152" s="18" t="s">
        <v>32</v>
      </c>
      <c r="I152" s="18" t="s">
        <v>744</v>
      </c>
      <c r="J152" s="18" t="s">
        <v>57</v>
      </c>
      <c r="K152" s="20" t="s">
        <v>39</v>
      </c>
      <c r="L152" s="20">
        <v>1502</v>
      </c>
      <c r="M152" s="20" t="s">
        <v>838</v>
      </c>
      <c r="N152" s="20" t="s">
        <v>30</v>
      </c>
      <c r="O152" s="20" t="s">
        <v>30</v>
      </c>
      <c r="P152" s="20" t="s">
        <v>30</v>
      </c>
      <c r="Q152" s="21">
        <v>46245</v>
      </c>
      <c r="R152" s="21">
        <v>46246</v>
      </c>
      <c r="S152" s="20" t="s">
        <v>35</v>
      </c>
      <c r="T152" s="18" t="s">
        <v>31</v>
      </c>
      <c r="U152" s="18" t="s">
        <v>30</v>
      </c>
    </row>
    <row r="153" spans="1:21" ht="33.6" customHeight="1" thickTop="1" thickBot="1">
      <c r="A153" s="18" t="str">
        <f t="shared" si="2"/>
        <v>agosto</v>
      </c>
      <c r="B153" s="18" t="s">
        <v>803</v>
      </c>
      <c r="C153" s="7" t="s">
        <v>7</v>
      </c>
      <c r="D153" s="7" t="s">
        <v>8</v>
      </c>
      <c r="E153" s="18" t="s">
        <v>839</v>
      </c>
      <c r="F153" s="18" t="s">
        <v>840</v>
      </c>
      <c r="G153" s="19" t="s">
        <v>841</v>
      </c>
      <c r="H153" s="18" t="s">
        <v>64</v>
      </c>
      <c r="I153" s="18" t="s">
        <v>842</v>
      </c>
      <c r="J153" s="18" t="s">
        <v>51</v>
      </c>
      <c r="K153" s="20" t="s">
        <v>43</v>
      </c>
      <c r="L153" s="20">
        <v>1502</v>
      </c>
      <c r="M153" s="20" t="s">
        <v>843</v>
      </c>
      <c r="N153" s="20">
        <v>70</v>
      </c>
      <c r="O153" s="20" t="s">
        <v>30</v>
      </c>
      <c r="P153" s="20" t="s">
        <v>30</v>
      </c>
      <c r="Q153" s="21">
        <v>46245</v>
      </c>
      <c r="R153" s="21">
        <v>46246</v>
      </c>
      <c r="S153" s="20" t="s">
        <v>49</v>
      </c>
      <c r="T153" s="18" t="s">
        <v>31</v>
      </c>
      <c r="U153" s="20" t="s">
        <v>1113</v>
      </c>
    </row>
    <row r="154" spans="1:21" ht="33.6" customHeight="1" thickTop="1" thickBot="1">
      <c r="A154" s="18" t="str">
        <f t="shared" si="2"/>
        <v>agosto</v>
      </c>
      <c r="B154" s="18" t="s">
        <v>804</v>
      </c>
      <c r="C154" s="7" t="s">
        <v>7</v>
      </c>
      <c r="D154" s="7" t="s">
        <v>8</v>
      </c>
      <c r="E154" s="18" t="s">
        <v>844</v>
      </c>
      <c r="F154" s="18" t="s">
        <v>845</v>
      </c>
      <c r="G154" s="19" t="s">
        <v>846</v>
      </c>
      <c r="H154" s="18" t="s">
        <v>32</v>
      </c>
      <c r="I154" s="18" t="s">
        <v>847</v>
      </c>
      <c r="J154" s="18" t="s">
        <v>33</v>
      </c>
      <c r="K154" s="20" t="s">
        <v>43</v>
      </c>
      <c r="L154" s="20">
        <v>1501</v>
      </c>
      <c r="M154" s="20" t="s">
        <v>848</v>
      </c>
      <c r="N154" s="20">
        <v>130</v>
      </c>
      <c r="O154" s="20" t="s">
        <v>30</v>
      </c>
      <c r="P154" s="20" t="s">
        <v>30</v>
      </c>
      <c r="Q154" s="21">
        <v>46245</v>
      </c>
      <c r="R154" s="21">
        <v>46246</v>
      </c>
      <c r="S154" s="20" t="s">
        <v>52</v>
      </c>
      <c r="T154" s="18" t="s">
        <v>31</v>
      </c>
      <c r="U154" s="20" t="s">
        <v>1114</v>
      </c>
    </row>
    <row r="155" spans="1:21" ht="33.6" customHeight="1" thickTop="1" thickBot="1">
      <c r="A155" s="18" t="str">
        <f t="shared" si="2"/>
        <v>agosto</v>
      </c>
      <c r="B155" s="18" t="s">
        <v>805</v>
      </c>
      <c r="C155" s="7" t="s">
        <v>7</v>
      </c>
      <c r="D155" s="7" t="s">
        <v>8</v>
      </c>
      <c r="E155" s="18" t="s">
        <v>849</v>
      </c>
      <c r="F155" s="18" t="s">
        <v>850</v>
      </c>
      <c r="G155" s="19" t="s">
        <v>851</v>
      </c>
      <c r="H155" s="18" t="s">
        <v>46</v>
      </c>
      <c r="I155" s="18" t="s">
        <v>852</v>
      </c>
      <c r="J155" s="18" t="s">
        <v>51</v>
      </c>
      <c r="K155" s="20" t="s">
        <v>43</v>
      </c>
      <c r="L155" s="20">
        <v>1502</v>
      </c>
      <c r="M155" s="20" t="s">
        <v>853</v>
      </c>
      <c r="N155" s="20" t="s">
        <v>30</v>
      </c>
      <c r="O155" s="20" t="s">
        <v>30</v>
      </c>
      <c r="P155" s="20" t="s">
        <v>30</v>
      </c>
      <c r="Q155" s="21">
        <v>46245</v>
      </c>
      <c r="R155" s="21">
        <v>46246</v>
      </c>
      <c r="S155" s="20" t="s">
        <v>49</v>
      </c>
      <c r="T155" s="18" t="s">
        <v>31</v>
      </c>
      <c r="U155" s="20" t="s">
        <v>1113</v>
      </c>
    </row>
    <row r="156" spans="1:21" ht="33.6" customHeight="1" thickTop="1" thickBot="1">
      <c r="A156" s="18" t="str">
        <f t="shared" si="2"/>
        <v>agosto</v>
      </c>
      <c r="B156" s="18" t="s">
        <v>806</v>
      </c>
      <c r="C156" s="7" t="s">
        <v>9</v>
      </c>
      <c r="D156" s="7" t="s">
        <v>10</v>
      </c>
      <c r="E156" s="18" t="s">
        <v>854</v>
      </c>
      <c r="F156" s="18" t="s">
        <v>855</v>
      </c>
      <c r="G156" s="19" t="s">
        <v>856</v>
      </c>
      <c r="H156" s="18" t="s">
        <v>40</v>
      </c>
      <c r="I156" s="18" t="s">
        <v>857</v>
      </c>
      <c r="J156" s="18" t="s">
        <v>38</v>
      </c>
      <c r="K156" s="20" t="s">
        <v>43</v>
      </c>
      <c r="L156" s="20">
        <v>1502</v>
      </c>
      <c r="M156" s="20" t="s">
        <v>858</v>
      </c>
      <c r="N156" s="20">
        <v>19</v>
      </c>
      <c r="O156" s="20" t="s">
        <v>30</v>
      </c>
      <c r="P156" s="20" t="s">
        <v>30</v>
      </c>
      <c r="Q156" s="21">
        <v>46245</v>
      </c>
      <c r="R156" s="21">
        <v>46246</v>
      </c>
      <c r="S156" s="20" t="s">
        <v>41</v>
      </c>
      <c r="T156" s="18" t="s">
        <v>42</v>
      </c>
      <c r="U156" s="20" t="s">
        <v>1113</v>
      </c>
    </row>
    <row r="157" spans="1:21" ht="33.6" customHeight="1" thickTop="1" thickBot="1">
      <c r="A157" s="18" t="str">
        <f t="shared" si="2"/>
        <v>agosto</v>
      </c>
      <c r="B157" s="18" t="s">
        <v>807</v>
      </c>
      <c r="C157" s="7" t="s">
        <v>7</v>
      </c>
      <c r="D157" s="7" t="s">
        <v>8</v>
      </c>
      <c r="E157" s="18" t="s">
        <v>859</v>
      </c>
      <c r="F157" s="18" t="s">
        <v>860</v>
      </c>
      <c r="G157" s="19" t="s">
        <v>861</v>
      </c>
      <c r="H157" s="18" t="s">
        <v>32</v>
      </c>
      <c r="I157" s="18" t="s">
        <v>862</v>
      </c>
      <c r="J157" s="18" t="s">
        <v>33</v>
      </c>
      <c r="K157" s="20" t="s">
        <v>43</v>
      </c>
      <c r="L157" s="20">
        <v>1502</v>
      </c>
      <c r="M157" s="20" t="s">
        <v>863</v>
      </c>
      <c r="N157" s="20">
        <v>70</v>
      </c>
      <c r="O157" s="20" t="s">
        <v>30</v>
      </c>
      <c r="P157" s="20" t="s">
        <v>30</v>
      </c>
      <c r="Q157" s="21">
        <v>46245</v>
      </c>
      <c r="R157" s="21">
        <v>46246</v>
      </c>
      <c r="S157" s="20" t="s">
        <v>52</v>
      </c>
      <c r="T157" s="18" t="s">
        <v>31</v>
      </c>
      <c r="U157" s="20" t="s">
        <v>1113</v>
      </c>
    </row>
    <row r="158" spans="1:21" ht="33.6" customHeight="1" thickTop="1" thickBot="1">
      <c r="A158" s="18" t="str">
        <f t="shared" si="2"/>
        <v>agosto</v>
      </c>
      <c r="B158" s="18" t="s">
        <v>808</v>
      </c>
      <c r="C158" s="7" t="s">
        <v>7</v>
      </c>
      <c r="D158" s="7" t="s">
        <v>8</v>
      </c>
      <c r="E158" s="18" t="s">
        <v>864</v>
      </c>
      <c r="F158" s="18" t="s">
        <v>865</v>
      </c>
      <c r="G158" s="19" t="s">
        <v>866</v>
      </c>
      <c r="H158" s="18" t="s">
        <v>64</v>
      </c>
      <c r="I158" s="18" t="s">
        <v>195</v>
      </c>
      <c r="J158" s="18" t="s">
        <v>55</v>
      </c>
      <c r="K158" s="20" t="s">
        <v>39</v>
      </c>
      <c r="L158" s="20">
        <v>1502</v>
      </c>
      <c r="M158" s="20" t="s">
        <v>867</v>
      </c>
      <c r="N158" s="20" t="s">
        <v>30</v>
      </c>
      <c r="O158" s="20" t="s">
        <v>30</v>
      </c>
      <c r="P158" s="20" t="s">
        <v>30</v>
      </c>
      <c r="Q158" s="21">
        <v>46245</v>
      </c>
      <c r="R158" s="21">
        <v>46246</v>
      </c>
      <c r="S158" s="20" t="s">
        <v>53</v>
      </c>
      <c r="T158" s="18" t="s">
        <v>31</v>
      </c>
      <c r="U158" s="18" t="s">
        <v>30</v>
      </c>
    </row>
    <row r="159" spans="1:21" ht="33.6" customHeight="1" thickTop="1" thickBot="1">
      <c r="A159" s="18" t="str">
        <f t="shared" si="2"/>
        <v>agosto</v>
      </c>
      <c r="B159" s="18" t="s">
        <v>809</v>
      </c>
      <c r="C159" s="7" t="s">
        <v>9</v>
      </c>
      <c r="D159" s="7" t="s">
        <v>10</v>
      </c>
      <c r="E159" s="18" t="s">
        <v>868</v>
      </c>
      <c r="F159" s="18" t="s">
        <v>869</v>
      </c>
      <c r="G159" s="19" t="s">
        <v>870</v>
      </c>
      <c r="H159" s="18" t="s">
        <v>40</v>
      </c>
      <c r="I159" s="18" t="s">
        <v>871</v>
      </c>
      <c r="J159" s="18" t="s">
        <v>38</v>
      </c>
      <c r="K159" s="20" t="s">
        <v>63</v>
      </c>
      <c r="L159" s="20">
        <v>1502</v>
      </c>
      <c r="M159" s="20" t="s">
        <v>872</v>
      </c>
      <c r="N159" s="20" t="s">
        <v>30</v>
      </c>
      <c r="O159" s="20" t="s">
        <v>30</v>
      </c>
      <c r="P159" s="20" t="s">
        <v>30</v>
      </c>
      <c r="Q159" s="21">
        <v>46245</v>
      </c>
      <c r="R159" s="21">
        <v>46246</v>
      </c>
      <c r="S159" s="20" t="s">
        <v>41</v>
      </c>
      <c r="T159" s="18" t="s">
        <v>42</v>
      </c>
      <c r="U159" s="18" t="s">
        <v>30</v>
      </c>
    </row>
    <row r="160" spans="1:21" ht="33.6" customHeight="1" thickTop="1" thickBot="1">
      <c r="A160" s="18" t="str">
        <f t="shared" si="2"/>
        <v>agosto</v>
      </c>
      <c r="B160" s="18" t="s">
        <v>810</v>
      </c>
      <c r="C160" s="7" t="s">
        <v>9</v>
      </c>
      <c r="D160" s="7" t="s">
        <v>10</v>
      </c>
      <c r="E160" s="18" t="s">
        <v>873</v>
      </c>
      <c r="F160" s="18" t="s">
        <v>874</v>
      </c>
      <c r="G160" s="19" t="s">
        <v>875</v>
      </c>
      <c r="H160" s="18" t="s">
        <v>40</v>
      </c>
      <c r="I160" s="18" t="s">
        <v>876</v>
      </c>
      <c r="J160" s="18" t="s">
        <v>38</v>
      </c>
      <c r="K160" s="20" t="s">
        <v>63</v>
      </c>
      <c r="L160" s="20">
        <v>1502</v>
      </c>
      <c r="M160" s="20" t="s">
        <v>877</v>
      </c>
      <c r="N160" s="20" t="s">
        <v>30</v>
      </c>
      <c r="O160" s="20" t="s">
        <v>30</v>
      </c>
      <c r="P160" s="20" t="s">
        <v>30</v>
      </c>
      <c r="Q160" s="21">
        <v>46245</v>
      </c>
      <c r="R160" s="21">
        <v>46246</v>
      </c>
      <c r="S160" s="20" t="s">
        <v>41</v>
      </c>
      <c r="T160" s="18" t="s">
        <v>42</v>
      </c>
      <c r="U160" s="18" t="s">
        <v>30</v>
      </c>
    </row>
    <row r="161" spans="1:21" ht="33.6" customHeight="1" thickTop="1" thickBot="1">
      <c r="A161" s="18" t="str">
        <f t="shared" si="2"/>
        <v>agosto</v>
      </c>
      <c r="B161" s="18" t="s">
        <v>811</v>
      </c>
      <c r="C161" s="7" t="s">
        <v>7</v>
      </c>
      <c r="D161" s="7" t="s">
        <v>8</v>
      </c>
      <c r="E161" s="18" t="s">
        <v>878</v>
      </c>
      <c r="F161" s="18" t="s">
        <v>879</v>
      </c>
      <c r="G161" s="19" t="s">
        <v>880</v>
      </c>
      <c r="H161" s="18" t="s">
        <v>40</v>
      </c>
      <c r="I161" s="18" t="s">
        <v>881</v>
      </c>
      <c r="J161" s="18" t="s">
        <v>62</v>
      </c>
      <c r="K161" s="20" t="s">
        <v>43</v>
      </c>
      <c r="L161" s="20">
        <v>1502</v>
      </c>
      <c r="M161" s="20" t="s">
        <v>882</v>
      </c>
      <c r="N161" s="20">
        <v>70</v>
      </c>
      <c r="O161" s="20" t="s">
        <v>30</v>
      </c>
      <c r="P161" s="20" t="s">
        <v>30</v>
      </c>
      <c r="Q161" s="21">
        <v>46245</v>
      </c>
      <c r="R161" s="21">
        <v>46246</v>
      </c>
      <c r="S161" s="20" t="s">
        <v>35</v>
      </c>
      <c r="T161" s="18" t="s">
        <v>31</v>
      </c>
      <c r="U161" s="20" t="s">
        <v>1113</v>
      </c>
    </row>
    <row r="162" spans="1:21" ht="33.6" customHeight="1" thickTop="1" thickBot="1">
      <c r="A162" s="18" t="str">
        <f t="shared" si="2"/>
        <v>agosto</v>
      </c>
      <c r="B162" s="18" t="s">
        <v>812</v>
      </c>
      <c r="E162" s="18" t="s">
        <v>883</v>
      </c>
      <c r="F162" s="18" t="s">
        <v>884</v>
      </c>
      <c r="G162" s="19" t="s">
        <v>885</v>
      </c>
      <c r="H162" s="18" t="s">
        <v>37</v>
      </c>
      <c r="I162" s="18" t="s">
        <v>886</v>
      </c>
      <c r="J162" s="18" t="s">
        <v>59</v>
      </c>
      <c r="K162" s="20" t="s">
        <v>34</v>
      </c>
      <c r="L162" s="20">
        <v>1501</v>
      </c>
      <c r="M162" s="20" t="s">
        <v>887</v>
      </c>
      <c r="N162" s="20" t="s">
        <v>30</v>
      </c>
      <c r="O162" s="20" t="s">
        <v>30</v>
      </c>
      <c r="P162" s="20" t="s">
        <v>30</v>
      </c>
      <c r="Q162" s="21">
        <v>46246</v>
      </c>
      <c r="R162" s="21">
        <v>46246</v>
      </c>
      <c r="S162" s="20" t="s">
        <v>56</v>
      </c>
      <c r="T162" s="18" t="s">
        <v>30</v>
      </c>
      <c r="U162" s="18" t="s">
        <v>30</v>
      </c>
    </row>
    <row r="163" spans="1:21" ht="33.6" customHeight="1" thickTop="1" thickBot="1">
      <c r="A163" s="18" t="str">
        <f t="shared" si="2"/>
        <v>agosto</v>
      </c>
      <c r="B163" s="18" t="s">
        <v>813</v>
      </c>
      <c r="C163" s="7" t="s">
        <v>9</v>
      </c>
      <c r="D163" s="7" t="s">
        <v>10</v>
      </c>
      <c r="E163" s="18" t="s">
        <v>891</v>
      </c>
      <c r="F163" s="18" t="s">
        <v>888</v>
      </c>
      <c r="G163" s="19" t="s">
        <v>889</v>
      </c>
      <c r="H163" s="18" t="s">
        <v>40</v>
      </c>
      <c r="I163" s="18" t="s">
        <v>61</v>
      </c>
      <c r="J163" s="18" t="s">
        <v>38</v>
      </c>
      <c r="K163" s="20" t="s">
        <v>43</v>
      </c>
      <c r="L163" s="20">
        <v>1502</v>
      </c>
      <c r="M163" s="20" t="s">
        <v>890</v>
      </c>
      <c r="N163" s="20">
        <v>41</v>
      </c>
      <c r="O163" s="20" t="s">
        <v>30</v>
      </c>
      <c r="P163" s="20" t="s">
        <v>30</v>
      </c>
      <c r="Q163" s="21">
        <v>46246</v>
      </c>
      <c r="R163" s="21">
        <v>46246</v>
      </c>
      <c r="S163" s="20" t="s">
        <v>41</v>
      </c>
      <c r="T163" s="18" t="s">
        <v>42</v>
      </c>
      <c r="U163" s="20" t="s">
        <v>1113</v>
      </c>
    </row>
    <row r="164" spans="1:21" ht="33.6" customHeight="1" thickTop="1" thickBot="1">
      <c r="A164" s="18" t="str">
        <f t="shared" si="2"/>
        <v>agosto</v>
      </c>
      <c r="B164" s="18" t="s">
        <v>892</v>
      </c>
      <c r="C164" s="7" t="s">
        <v>7</v>
      </c>
      <c r="D164" s="7" t="s">
        <v>8</v>
      </c>
      <c r="E164" s="18" t="s">
        <v>906</v>
      </c>
      <c r="F164" s="18" t="s">
        <v>907</v>
      </c>
      <c r="G164" s="19" t="s">
        <v>908</v>
      </c>
      <c r="H164" s="18" t="s">
        <v>32</v>
      </c>
      <c r="I164" s="18" t="s">
        <v>909</v>
      </c>
      <c r="J164" s="18" t="s">
        <v>50</v>
      </c>
      <c r="K164" s="20" t="s">
        <v>43</v>
      </c>
      <c r="L164" s="20">
        <v>1501</v>
      </c>
      <c r="M164" s="20" t="s">
        <v>910</v>
      </c>
      <c r="N164" s="20" t="s">
        <v>30</v>
      </c>
      <c r="O164" s="20" t="s">
        <v>30</v>
      </c>
      <c r="P164" s="20" t="s">
        <v>30</v>
      </c>
      <c r="Q164" s="21">
        <v>46245</v>
      </c>
      <c r="R164" s="21">
        <v>46247</v>
      </c>
      <c r="S164" s="20" t="s">
        <v>35</v>
      </c>
      <c r="T164" s="18" t="s">
        <v>31</v>
      </c>
      <c r="U164" s="20" t="s">
        <v>1113</v>
      </c>
    </row>
    <row r="165" spans="1:21" ht="33.6" customHeight="1" thickTop="1" thickBot="1">
      <c r="A165" s="18" t="str">
        <f t="shared" si="2"/>
        <v>agosto</v>
      </c>
      <c r="B165" s="18" t="s">
        <v>893</v>
      </c>
      <c r="C165" s="7" t="s">
        <v>7</v>
      </c>
      <c r="D165" s="7" t="s">
        <v>8</v>
      </c>
      <c r="E165" s="18" t="s">
        <v>911</v>
      </c>
      <c r="F165" s="18" t="s">
        <v>912</v>
      </c>
      <c r="G165" s="19" t="s">
        <v>913</v>
      </c>
      <c r="H165" s="18" t="s">
        <v>64</v>
      </c>
      <c r="I165" s="18" t="s">
        <v>914</v>
      </c>
      <c r="J165" s="18" t="s">
        <v>51</v>
      </c>
      <c r="K165" s="20" t="s">
        <v>43</v>
      </c>
      <c r="L165" s="20">
        <v>1502</v>
      </c>
      <c r="M165" s="20" t="s">
        <v>915</v>
      </c>
      <c r="N165" s="20">
        <v>25</v>
      </c>
      <c r="O165" s="20" t="s">
        <v>30</v>
      </c>
      <c r="P165" s="20" t="s">
        <v>30</v>
      </c>
      <c r="Q165" s="21">
        <v>46246</v>
      </c>
      <c r="R165" s="21">
        <v>46247</v>
      </c>
      <c r="S165" s="20" t="s">
        <v>49</v>
      </c>
      <c r="T165" s="18" t="s">
        <v>31</v>
      </c>
      <c r="U165" s="20" t="s">
        <v>1113</v>
      </c>
    </row>
    <row r="166" spans="1:21" ht="33.6" customHeight="1" thickTop="1" thickBot="1">
      <c r="A166" s="18" t="str">
        <f t="shared" si="2"/>
        <v>agosto</v>
      </c>
      <c r="B166" s="18" t="s">
        <v>894</v>
      </c>
      <c r="C166" s="7" t="s">
        <v>7</v>
      </c>
      <c r="D166" s="7" t="s">
        <v>8</v>
      </c>
      <c r="E166" s="18" t="s">
        <v>916</v>
      </c>
      <c r="F166" s="18" t="s">
        <v>917</v>
      </c>
      <c r="G166" s="19" t="s">
        <v>918</v>
      </c>
      <c r="H166" s="18" t="s">
        <v>64</v>
      </c>
      <c r="I166" s="18" t="s">
        <v>195</v>
      </c>
      <c r="J166" s="18" t="s">
        <v>55</v>
      </c>
      <c r="K166" s="20" t="s">
        <v>34</v>
      </c>
      <c r="L166" s="20">
        <v>1502</v>
      </c>
      <c r="M166" s="20" t="s">
        <v>919</v>
      </c>
      <c r="N166" s="20" t="s">
        <v>30</v>
      </c>
      <c r="O166" s="20" t="s">
        <v>30</v>
      </c>
      <c r="P166" s="20" t="s">
        <v>30</v>
      </c>
      <c r="Q166" s="21">
        <v>46246</v>
      </c>
      <c r="R166" s="21">
        <v>46247</v>
      </c>
      <c r="S166" s="20" t="s">
        <v>53</v>
      </c>
      <c r="T166" s="18" t="s">
        <v>31</v>
      </c>
      <c r="U166" s="18" t="s">
        <v>30</v>
      </c>
    </row>
    <row r="167" spans="1:21" ht="33.6" customHeight="1" thickTop="1" thickBot="1">
      <c r="A167" s="18" t="str">
        <f t="shared" si="2"/>
        <v>agosto</v>
      </c>
      <c r="B167" s="18" t="s">
        <v>895</v>
      </c>
      <c r="C167" s="7" t="s">
        <v>9</v>
      </c>
      <c r="D167" s="7" t="s">
        <v>10</v>
      </c>
      <c r="E167" s="18" t="s">
        <v>1111</v>
      </c>
      <c r="F167" s="18" t="s">
        <v>920</v>
      </c>
      <c r="G167" s="19" t="s">
        <v>921</v>
      </c>
      <c r="H167" s="18" t="s">
        <v>40</v>
      </c>
      <c r="I167" s="18" t="s">
        <v>65</v>
      </c>
      <c r="J167" s="18" t="s">
        <v>62</v>
      </c>
      <c r="K167" s="20" t="s">
        <v>43</v>
      </c>
      <c r="L167" s="20">
        <v>1502</v>
      </c>
      <c r="M167" s="20" t="s">
        <v>922</v>
      </c>
      <c r="N167" s="20">
        <v>17</v>
      </c>
      <c r="O167" s="20" t="s">
        <v>30</v>
      </c>
      <c r="P167" s="20" t="s">
        <v>30</v>
      </c>
      <c r="Q167" s="21">
        <v>46246</v>
      </c>
      <c r="R167" s="21">
        <v>46247</v>
      </c>
      <c r="S167" s="20" t="s">
        <v>41</v>
      </c>
      <c r="T167" s="18" t="s">
        <v>42</v>
      </c>
      <c r="U167" s="20" t="s">
        <v>1113</v>
      </c>
    </row>
    <row r="168" spans="1:21" ht="33.6" customHeight="1" thickTop="1" thickBot="1">
      <c r="A168" s="18" t="str">
        <f t="shared" si="2"/>
        <v>agosto</v>
      </c>
      <c r="B168" s="18" t="s">
        <v>808</v>
      </c>
      <c r="C168" s="7" t="s">
        <v>7</v>
      </c>
      <c r="D168" s="7" t="s">
        <v>8</v>
      </c>
      <c r="E168" s="18" t="s">
        <v>864</v>
      </c>
      <c r="F168" s="18" t="s">
        <v>865</v>
      </c>
      <c r="G168" s="19" t="s">
        <v>866</v>
      </c>
      <c r="H168" s="18" t="s">
        <v>64</v>
      </c>
      <c r="I168" s="18" t="s">
        <v>195</v>
      </c>
      <c r="J168" s="18" t="s">
        <v>55</v>
      </c>
      <c r="K168" s="20" t="s">
        <v>39</v>
      </c>
      <c r="L168" s="20">
        <v>1502</v>
      </c>
      <c r="M168" s="20" t="s">
        <v>923</v>
      </c>
      <c r="N168" s="20" t="s">
        <v>30</v>
      </c>
      <c r="O168" s="20" t="s">
        <v>30</v>
      </c>
      <c r="P168" s="20" t="s">
        <v>30</v>
      </c>
      <c r="Q168" s="21">
        <v>46245</v>
      </c>
      <c r="R168" s="21">
        <v>46247</v>
      </c>
      <c r="S168" s="20" t="s">
        <v>53</v>
      </c>
      <c r="T168" s="18" t="s">
        <v>31</v>
      </c>
      <c r="U168" s="18" t="s">
        <v>30</v>
      </c>
    </row>
    <row r="169" spans="1:21" ht="33.6" customHeight="1" thickTop="1" thickBot="1">
      <c r="A169" s="18" t="str">
        <f t="shared" si="2"/>
        <v>agosto</v>
      </c>
      <c r="B169" s="18" t="s">
        <v>896</v>
      </c>
      <c r="C169" s="7" t="s">
        <v>7</v>
      </c>
      <c r="D169" s="7" t="s">
        <v>8</v>
      </c>
      <c r="E169" s="18" t="s">
        <v>924</v>
      </c>
      <c r="F169" s="18" t="s">
        <v>925</v>
      </c>
      <c r="G169" s="19" t="s">
        <v>926</v>
      </c>
      <c r="H169" s="18" t="s">
        <v>32</v>
      </c>
      <c r="I169" s="18" t="s">
        <v>927</v>
      </c>
      <c r="J169" s="18" t="s">
        <v>51</v>
      </c>
      <c r="K169" s="20" t="s">
        <v>43</v>
      </c>
      <c r="L169" s="20">
        <v>1502</v>
      </c>
      <c r="M169" s="20" t="s">
        <v>928</v>
      </c>
      <c r="N169" s="20">
        <v>80</v>
      </c>
      <c r="O169" s="20" t="s">
        <v>30</v>
      </c>
      <c r="P169" s="20" t="s">
        <v>30</v>
      </c>
      <c r="Q169" s="21">
        <v>46245</v>
      </c>
      <c r="R169" s="21">
        <v>46247</v>
      </c>
      <c r="S169" s="20" t="s">
        <v>52</v>
      </c>
      <c r="T169" s="18" t="s">
        <v>31</v>
      </c>
      <c r="U169" s="20" t="s">
        <v>1113</v>
      </c>
    </row>
    <row r="170" spans="1:21" ht="33.6" customHeight="1" thickTop="1" thickBot="1">
      <c r="A170" s="18" t="str">
        <f t="shared" si="2"/>
        <v>agosto</v>
      </c>
      <c r="B170" s="18" t="s">
        <v>897</v>
      </c>
      <c r="C170" s="7" t="s">
        <v>7</v>
      </c>
      <c r="D170" s="7" t="s">
        <v>8</v>
      </c>
      <c r="E170" s="18" t="s">
        <v>929</v>
      </c>
      <c r="F170" s="18" t="s">
        <v>930</v>
      </c>
      <c r="G170" s="19" t="s">
        <v>931</v>
      </c>
      <c r="H170" s="18" t="s">
        <v>37</v>
      </c>
      <c r="I170" s="18" t="s">
        <v>932</v>
      </c>
      <c r="J170" s="18" t="s">
        <v>55</v>
      </c>
      <c r="K170" s="20" t="s">
        <v>39</v>
      </c>
      <c r="L170" s="20">
        <v>1501</v>
      </c>
      <c r="M170" s="20" t="s">
        <v>933</v>
      </c>
      <c r="N170" s="20" t="s">
        <v>30</v>
      </c>
      <c r="O170" s="20" t="s">
        <v>30</v>
      </c>
      <c r="P170" s="20" t="s">
        <v>30</v>
      </c>
      <c r="Q170" s="21">
        <v>46245</v>
      </c>
      <c r="R170" s="21">
        <v>46247</v>
      </c>
      <c r="S170" s="20" t="s">
        <v>52</v>
      </c>
      <c r="T170" s="18" t="s">
        <v>31</v>
      </c>
      <c r="U170" s="18" t="s">
        <v>30</v>
      </c>
    </row>
    <row r="171" spans="1:21" ht="33.6" customHeight="1" thickTop="1" thickBot="1">
      <c r="A171" s="18" t="str">
        <f t="shared" si="2"/>
        <v>agosto</v>
      </c>
      <c r="B171" s="18" t="s">
        <v>898</v>
      </c>
      <c r="C171" s="7" t="s">
        <v>7</v>
      </c>
      <c r="D171" s="7" t="s">
        <v>8</v>
      </c>
      <c r="E171" s="18" t="s">
        <v>934</v>
      </c>
      <c r="F171" s="18" t="s">
        <v>935</v>
      </c>
      <c r="G171" s="19" t="s">
        <v>936</v>
      </c>
      <c r="H171" s="18" t="s">
        <v>64</v>
      </c>
      <c r="I171" s="18" t="s">
        <v>937</v>
      </c>
      <c r="J171" s="18" t="s">
        <v>51</v>
      </c>
      <c r="K171" s="20" t="s">
        <v>34</v>
      </c>
      <c r="L171" s="20">
        <v>1502</v>
      </c>
      <c r="M171" s="20" t="s">
        <v>938</v>
      </c>
      <c r="N171" s="20" t="s">
        <v>30</v>
      </c>
      <c r="O171" s="20" t="s">
        <v>30</v>
      </c>
      <c r="P171" s="20" t="s">
        <v>30</v>
      </c>
      <c r="Q171" s="21">
        <v>46245</v>
      </c>
      <c r="R171" s="21">
        <v>46247</v>
      </c>
      <c r="S171" s="20" t="s">
        <v>49</v>
      </c>
      <c r="T171" s="18" t="s">
        <v>31</v>
      </c>
      <c r="U171" s="18" t="s">
        <v>30</v>
      </c>
    </row>
    <row r="172" spans="1:21" ht="33.6" customHeight="1" thickTop="1" thickBot="1">
      <c r="A172" s="18" t="str">
        <f t="shared" si="2"/>
        <v>agosto</v>
      </c>
      <c r="B172" s="18" t="s">
        <v>899</v>
      </c>
      <c r="C172" s="7" t="s">
        <v>7</v>
      </c>
      <c r="D172" s="7" t="s">
        <v>8</v>
      </c>
      <c r="E172" s="18" t="s">
        <v>939</v>
      </c>
      <c r="F172" s="18" t="s">
        <v>940</v>
      </c>
      <c r="G172" s="19" t="s">
        <v>941</v>
      </c>
      <c r="H172" s="18" t="s">
        <v>37</v>
      </c>
      <c r="I172" s="18" t="s">
        <v>942</v>
      </c>
      <c r="J172" s="18" t="s">
        <v>55</v>
      </c>
      <c r="K172" s="20" t="s">
        <v>39</v>
      </c>
      <c r="L172" s="20">
        <v>1502</v>
      </c>
      <c r="M172" s="20" t="s">
        <v>943</v>
      </c>
      <c r="N172" s="20" t="s">
        <v>30</v>
      </c>
      <c r="O172" s="20" t="s">
        <v>30</v>
      </c>
      <c r="P172" s="20" t="s">
        <v>30</v>
      </c>
      <c r="Q172" s="21">
        <v>46245</v>
      </c>
      <c r="R172" s="21">
        <v>46247</v>
      </c>
      <c r="S172" s="20" t="s">
        <v>35</v>
      </c>
      <c r="T172" s="18" t="s">
        <v>31</v>
      </c>
      <c r="U172" s="18" t="s">
        <v>30</v>
      </c>
    </row>
    <row r="173" spans="1:21" ht="33.6" customHeight="1" thickTop="1" thickBot="1">
      <c r="A173" s="18" t="str">
        <f t="shared" si="2"/>
        <v>agosto</v>
      </c>
      <c r="B173" s="18" t="s">
        <v>900</v>
      </c>
      <c r="C173" s="7" t="s">
        <v>9</v>
      </c>
      <c r="D173" s="7" t="s">
        <v>10</v>
      </c>
      <c r="E173" s="18" t="s">
        <v>944</v>
      </c>
      <c r="F173" s="18" t="s">
        <v>945</v>
      </c>
      <c r="G173" s="19" t="s">
        <v>946</v>
      </c>
      <c r="H173" s="18" t="s">
        <v>40</v>
      </c>
      <c r="I173" s="18" t="s">
        <v>195</v>
      </c>
      <c r="J173" s="18" t="s">
        <v>45</v>
      </c>
      <c r="K173" s="20" t="s">
        <v>34</v>
      </c>
      <c r="L173" s="20">
        <v>1502</v>
      </c>
      <c r="M173" s="20" t="s">
        <v>947</v>
      </c>
      <c r="N173" s="20" t="s">
        <v>30</v>
      </c>
      <c r="O173" s="20" t="s">
        <v>30</v>
      </c>
      <c r="P173" s="20" t="s">
        <v>30</v>
      </c>
      <c r="Q173" s="21">
        <v>46247</v>
      </c>
      <c r="R173" s="21">
        <v>46247</v>
      </c>
      <c r="S173" s="20" t="s">
        <v>41</v>
      </c>
      <c r="T173" s="18" t="s">
        <v>42</v>
      </c>
      <c r="U173" s="18" t="s">
        <v>30</v>
      </c>
    </row>
    <row r="174" spans="1:21" ht="33.6" customHeight="1" thickTop="1" thickBot="1">
      <c r="A174" s="18" t="str">
        <f t="shared" si="2"/>
        <v>agosto</v>
      </c>
      <c r="B174" s="18" t="s">
        <v>901</v>
      </c>
      <c r="C174" s="7" t="s">
        <v>7</v>
      </c>
      <c r="D174" s="7" t="s">
        <v>8</v>
      </c>
      <c r="E174" s="18" t="s">
        <v>948</v>
      </c>
      <c r="F174" s="18" t="s">
        <v>949</v>
      </c>
      <c r="G174" s="19" t="s">
        <v>950</v>
      </c>
      <c r="H174" s="18" t="s">
        <v>37</v>
      </c>
      <c r="I174" s="18" t="s">
        <v>71</v>
      </c>
      <c r="J174" s="18" t="s">
        <v>55</v>
      </c>
      <c r="K174" s="20" t="s">
        <v>43</v>
      </c>
      <c r="L174" s="20">
        <v>1502</v>
      </c>
      <c r="M174" s="20" t="s">
        <v>951</v>
      </c>
      <c r="N174" s="20" t="s">
        <v>952</v>
      </c>
      <c r="O174" s="20" t="s">
        <v>30</v>
      </c>
      <c r="P174" s="20">
        <v>2</v>
      </c>
      <c r="Q174" s="21">
        <v>46247</v>
      </c>
      <c r="R174" s="21">
        <v>46247</v>
      </c>
      <c r="S174" s="20" t="s">
        <v>53</v>
      </c>
      <c r="T174" s="18" t="s">
        <v>31</v>
      </c>
      <c r="U174" s="20" t="s">
        <v>1113</v>
      </c>
    </row>
    <row r="175" spans="1:21" ht="33.6" customHeight="1" thickTop="1" thickBot="1">
      <c r="A175" s="18" t="str">
        <f t="shared" si="2"/>
        <v>agosto</v>
      </c>
      <c r="B175" s="18" t="s">
        <v>902</v>
      </c>
      <c r="C175" s="7" t="s">
        <v>7</v>
      </c>
      <c r="D175" s="7" t="s">
        <v>8</v>
      </c>
      <c r="E175" s="18" t="s">
        <v>953</v>
      </c>
      <c r="F175" s="18" t="s">
        <v>954</v>
      </c>
      <c r="G175" s="19" t="s">
        <v>955</v>
      </c>
      <c r="H175" s="18" t="s">
        <v>37</v>
      </c>
      <c r="I175" s="18" t="s">
        <v>111</v>
      </c>
      <c r="J175" s="18" t="s">
        <v>55</v>
      </c>
      <c r="K175" s="20" t="s">
        <v>43</v>
      </c>
      <c r="L175" s="20">
        <v>1502</v>
      </c>
      <c r="M175" s="20" t="s">
        <v>956</v>
      </c>
      <c r="N175" s="20" t="s">
        <v>112</v>
      </c>
      <c r="O175" s="20" t="s">
        <v>30</v>
      </c>
      <c r="P175" s="20">
        <v>2</v>
      </c>
      <c r="Q175" s="21">
        <v>46247</v>
      </c>
      <c r="R175" s="21">
        <v>46247</v>
      </c>
      <c r="S175" s="20" t="s">
        <v>49</v>
      </c>
      <c r="T175" s="18" t="s">
        <v>31</v>
      </c>
      <c r="U175" s="20" t="s">
        <v>1113</v>
      </c>
    </row>
    <row r="176" spans="1:21" ht="33.6" customHeight="1" thickTop="1" thickBot="1">
      <c r="A176" s="18" t="str">
        <f t="shared" si="2"/>
        <v>agosto</v>
      </c>
      <c r="B176" s="18" t="s">
        <v>903</v>
      </c>
      <c r="C176" s="7" t="s">
        <v>7</v>
      </c>
      <c r="D176" s="7" t="s">
        <v>8</v>
      </c>
      <c r="E176" s="18" t="s">
        <v>957</v>
      </c>
      <c r="F176" s="18" t="s">
        <v>958</v>
      </c>
      <c r="G176" s="19" t="s">
        <v>959</v>
      </c>
      <c r="H176" s="18" t="s">
        <v>37</v>
      </c>
      <c r="I176" s="18" t="s">
        <v>960</v>
      </c>
      <c r="J176" s="18" t="s">
        <v>55</v>
      </c>
      <c r="K176" s="20" t="s">
        <v>63</v>
      </c>
      <c r="L176" s="20">
        <v>1502</v>
      </c>
      <c r="M176" s="20" t="s">
        <v>961</v>
      </c>
      <c r="N176" s="20" t="s">
        <v>30</v>
      </c>
      <c r="O176" s="20" t="s">
        <v>30</v>
      </c>
      <c r="P176" s="20" t="s">
        <v>30</v>
      </c>
      <c r="Q176" s="21">
        <v>46247</v>
      </c>
      <c r="R176" s="21">
        <v>46247</v>
      </c>
      <c r="S176" s="20" t="s">
        <v>35</v>
      </c>
      <c r="T176" s="18" t="s">
        <v>31</v>
      </c>
      <c r="U176" s="18" t="s">
        <v>30</v>
      </c>
    </row>
    <row r="177" spans="1:21" ht="33.6" customHeight="1" thickTop="1" thickBot="1">
      <c r="A177" s="18" t="str">
        <f t="shared" si="2"/>
        <v>agosto</v>
      </c>
      <c r="B177" s="18" t="s">
        <v>904</v>
      </c>
      <c r="C177" s="7" t="s">
        <v>7</v>
      </c>
      <c r="D177" s="7" t="s">
        <v>8</v>
      </c>
      <c r="E177" s="18" t="s">
        <v>962</v>
      </c>
      <c r="F177" s="18" t="s">
        <v>963</v>
      </c>
      <c r="G177" s="19" t="s">
        <v>964</v>
      </c>
      <c r="H177" s="18" t="s">
        <v>37</v>
      </c>
      <c r="I177" s="18" t="s">
        <v>61</v>
      </c>
      <c r="J177" s="18" t="s">
        <v>55</v>
      </c>
      <c r="K177" s="20" t="s">
        <v>43</v>
      </c>
      <c r="L177" s="20">
        <v>1502</v>
      </c>
      <c r="M177" s="20" t="s">
        <v>965</v>
      </c>
      <c r="N177" s="20" t="s">
        <v>966</v>
      </c>
      <c r="O177" s="20" t="s">
        <v>30</v>
      </c>
      <c r="P177" s="20">
        <v>2</v>
      </c>
      <c r="Q177" s="21">
        <v>46247</v>
      </c>
      <c r="R177" s="21">
        <v>46247</v>
      </c>
      <c r="S177" s="20" t="s">
        <v>53</v>
      </c>
      <c r="T177" s="18" t="s">
        <v>31</v>
      </c>
      <c r="U177" s="20" t="s">
        <v>1113</v>
      </c>
    </row>
    <row r="178" spans="1:21" ht="33.6" customHeight="1" thickTop="1" thickBot="1">
      <c r="A178" s="18" t="str">
        <f t="shared" si="2"/>
        <v>agosto</v>
      </c>
      <c r="B178" s="18" t="s">
        <v>905</v>
      </c>
      <c r="C178" s="7" t="s">
        <v>7</v>
      </c>
      <c r="D178" s="7" t="s">
        <v>8</v>
      </c>
      <c r="E178" s="18" t="s">
        <v>967</v>
      </c>
      <c r="F178" s="18" t="s">
        <v>968</v>
      </c>
      <c r="G178" s="19" t="s">
        <v>969</v>
      </c>
      <c r="H178" s="18" t="s">
        <v>37</v>
      </c>
      <c r="I178" s="18" t="s">
        <v>590</v>
      </c>
      <c r="J178" s="18" t="s">
        <v>55</v>
      </c>
      <c r="K178" s="20" t="s">
        <v>43</v>
      </c>
      <c r="L178" s="20">
        <v>1502</v>
      </c>
      <c r="M178" s="20" t="s">
        <v>970</v>
      </c>
      <c r="N178" s="20" t="s">
        <v>30</v>
      </c>
      <c r="O178" s="20" t="s">
        <v>30</v>
      </c>
      <c r="P178" s="20" t="s">
        <v>30</v>
      </c>
      <c r="Q178" s="21">
        <v>46247</v>
      </c>
      <c r="R178" s="21">
        <v>46247</v>
      </c>
      <c r="S178" s="20" t="s">
        <v>52</v>
      </c>
      <c r="T178" s="18" t="s">
        <v>31</v>
      </c>
      <c r="U178" s="20" t="s">
        <v>1113</v>
      </c>
    </row>
    <row r="179" spans="1:21" ht="33.6" customHeight="1" thickTop="1" thickBot="1">
      <c r="A179" s="18" t="str">
        <f t="shared" si="2"/>
        <v>agosto</v>
      </c>
      <c r="B179" s="18" t="s">
        <v>641</v>
      </c>
      <c r="C179" s="7" t="s">
        <v>7</v>
      </c>
      <c r="D179" s="7" t="s">
        <v>8</v>
      </c>
      <c r="E179" s="18" t="s">
        <v>691</v>
      </c>
      <c r="F179" s="18" t="s">
        <v>692</v>
      </c>
      <c r="G179" s="19" t="s">
        <v>693</v>
      </c>
      <c r="H179" s="18" t="s">
        <v>40</v>
      </c>
      <c r="I179" s="18" t="s">
        <v>61</v>
      </c>
      <c r="J179" s="18" t="s">
        <v>45</v>
      </c>
      <c r="K179" s="20" t="s">
        <v>43</v>
      </c>
      <c r="L179" s="20">
        <v>1502</v>
      </c>
      <c r="M179" s="20" t="s">
        <v>982</v>
      </c>
      <c r="N179" s="20">
        <v>30</v>
      </c>
      <c r="O179" s="20" t="s">
        <v>30</v>
      </c>
      <c r="P179" s="20" t="s">
        <v>30</v>
      </c>
      <c r="Q179" s="21">
        <v>46242</v>
      </c>
      <c r="R179" s="21">
        <v>46248</v>
      </c>
      <c r="S179" s="20" t="s">
        <v>35</v>
      </c>
      <c r="T179" s="18" t="s">
        <v>31</v>
      </c>
      <c r="U179" s="20" t="s">
        <v>1113</v>
      </c>
    </row>
    <row r="180" spans="1:21" ht="33.6" customHeight="1" thickTop="1" thickBot="1">
      <c r="A180" s="18" t="str">
        <f t="shared" si="2"/>
        <v>agosto</v>
      </c>
      <c r="B180" s="18" t="s">
        <v>971</v>
      </c>
      <c r="C180" s="7" t="s">
        <v>9</v>
      </c>
      <c r="D180" s="7" t="s">
        <v>10</v>
      </c>
      <c r="E180" s="18" t="s">
        <v>983</v>
      </c>
      <c r="F180" s="18" t="s">
        <v>984</v>
      </c>
      <c r="G180" s="19" t="s">
        <v>985</v>
      </c>
      <c r="H180" s="18" t="s">
        <v>40</v>
      </c>
      <c r="I180" s="18" t="s">
        <v>986</v>
      </c>
      <c r="J180" s="18" t="s">
        <v>38</v>
      </c>
      <c r="K180" s="20" t="s">
        <v>43</v>
      </c>
      <c r="L180" s="20">
        <v>1502</v>
      </c>
      <c r="M180" s="20" t="s">
        <v>987</v>
      </c>
      <c r="N180" s="20">
        <v>18</v>
      </c>
      <c r="O180" s="20" t="s">
        <v>30</v>
      </c>
      <c r="P180" s="20" t="s">
        <v>30</v>
      </c>
      <c r="Q180" s="21">
        <v>46245</v>
      </c>
      <c r="R180" s="21">
        <v>46248</v>
      </c>
      <c r="S180" s="20" t="s">
        <v>41</v>
      </c>
      <c r="T180" s="18" t="s">
        <v>42</v>
      </c>
      <c r="U180" s="20" t="s">
        <v>1113</v>
      </c>
    </row>
    <row r="181" spans="1:21" ht="33.6" customHeight="1" thickTop="1" thickBot="1">
      <c r="A181" s="18" t="str">
        <f t="shared" si="2"/>
        <v>agosto</v>
      </c>
      <c r="B181" s="18" t="s">
        <v>802</v>
      </c>
      <c r="C181" s="7" t="s">
        <v>7</v>
      </c>
      <c r="D181" s="7" t="s">
        <v>8</v>
      </c>
      <c r="E181" s="18" t="s">
        <v>835</v>
      </c>
      <c r="F181" s="18" t="s">
        <v>836</v>
      </c>
      <c r="G181" s="19" t="s">
        <v>837</v>
      </c>
      <c r="H181" s="18" t="s">
        <v>32</v>
      </c>
      <c r="I181" s="18" t="s">
        <v>744</v>
      </c>
      <c r="J181" s="18" t="s">
        <v>57</v>
      </c>
      <c r="K181" s="20" t="s">
        <v>34</v>
      </c>
      <c r="L181" s="20">
        <v>1502</v>
      </c>
      <c r="M181" s="20" t="s">
        <v>988</v>
      </c>
      <c r="N181" s="20" t="s">
        <v>30</v>
      </c>
      <c r="O181" s="20" t="s">
        <v>30</v>
      </c>
      <c r="P181" s="20" t="s">
        <v>30</v>
      </c>
      <c r="Q181" s="21">
        <v>46245</v>
      </c>
      <c r="R181" s="21">
        <v>46248</v>
      </c>
      <c r="S181" s="20" t="s">
        <v>52</v>
      </c>
      <c r="T181" s="18" t="s">
        <v>31</v>
      </c>
      <c r="U181" s="18" t="s">
        <v>30</v>
      </c>
    </row>
    <row r="182" spans="1:21" ht="33.6" customHeight="1" thickTop="1" thickBot="1">
      <c r="A182" s="18" t="str">
        <f t="shared" si="2"/>
        <v>agosto</v>
      </c>
      <c r="B182" s="18" t="s">
        <v>808</v>
      </c>
      <c r="C182" s="7" t="s">
        <v>7</v>
      </c>
      <c r="D182" s="7" t="s">
        <v>8</v>
      </c>
      <c r="E182" s="18" t="s">
        <v>864</v>
      </c>
      <c r="F182" s="18" t="s">
        <v>865</v>
      </c>
      <c r="G182" s="19" t="s">
        <v>866</v>
      </c>
      <c r="H182" s="18" t="s">
        <v>64</v>
      </c>
      <c r="I182" s="18" t="s">
        <v>195</v>
      </c>
      <c r="J182" s="18" t="s">
        <v>55</v>
      </c>
      <c r="K182" s="20" t="s">
        <v>34</v>
      </c>
      <c r="L182" s="20">
        <v>1502</v>
      </c>
      <c r="M182" s="20" t="s">
        <v>989</v>
      </c>
      <c r="N182" s="20" t="s">
        <v>30</v>
      </c>
      <c r="O182" s="20" t="s">
        <v>30</v>
      </c>
      <c r="P182" s="20" t="s">
        <v>30</v>
      </c>
      <c r="Q182" s="21">
        <v>46245</v>
      </c>
      <c r="R182" s="21">
        <v>46248</v>
      </c>
      <c r="S182" s="20" t="s">
        <v>49</v>
      </c>
      <c r="T182" s="18" t="s">
        <v>31</v>
      </c>
      <c r="U182" s="18" t="s">
        <v>30</v>
      </c>
    </row>
    <row r="183" spans="1:21" ht="33.6" customHeight="1" thickTop="1" thickBot="1">
      <c r="A183" s="18" t="str">
        <f t="shared" si="2"/>
        <v>agosto</v>
      </c>
      <c r="B183" s="18" t="s">
        <v>972</v>
      </c>
      <c r="C183" s="7" t="s">
        <v>7</v>
      </c>
      <c r="D183" s="7" t="s">
        <v>8</v>
      </c>
      <c r="E183" s="18" t="s">
        <v>990</v>
      </c>
      <c r="F183" s="18" t="s">
        <v>991</v>
      </c>
      <c r="G183" s="19" t="s">
        <v>992</v>
      </c>
      <c r="H183" s="18" t="s">
        <v>32</v>
      </c>
      <c r="I183" s="18" t="s">
        <v>993</v>
      </c>
      <c r="J183" s="18" t="s">
        <v>33</v>
      </c>
      <c r="K183" s="20" t="s">
        <v>43</v>
      </c>
      <c r="L183" s="20">
        <v>1502</v>
      </c>
      <c r="M183" s="20" t="s">
        <v>994</v>
      </c>
      <c r="N183" s="20" t="s">
        <v>30</v>
      </c>
      <c r="O183" s="20" t="s">
        <v>30</v>
      </c>
      <c r="P183" s="20" t="s">
        <v>30</v>
      </c>
      <c r="Q183" s="21">
        <v>46247</v>
      </c>
      <c r="R183" s="21">
        <v>46248</v>
      </c>
      <c r="S183" s="20" t="s">
        <v>52</v>
      </c>
      <c r="T183" s="18" t="s">
        <v>31</v>
      </c>
      <c r="U183" s="20" t="s">
        <v>1114</v>
      </c>
    </row>
    <row r="184" spans="1:21" ht="33.6" customHeight="1" thickTop="1" thickBot="1">
      <c r="A184" s="18" t="str">
        <f t="shared" si="2"/>
        <v>agosto</v>
      </c>
      <c r="B184" s="18" t="s">
        <v>973</v>
      </c>
      <c r="C184" s="7" t="s">
        <v>9</v>
      </c>
      <c r="D184" s="7" t="s">
        <v>10</v>
      </c>
      <c r="E184" s="18" t="s">
        <v>995</v>
      </c>
      <c r="F184" s="18" t="s">
        <v>996</v>
      </c>
      <c r="G184" s="19" t="s">
        <v>997</v>
      </c>
      <c r="H184" s="18" t="s">
        <v>40</v>
      </c>
      <c r="I184" s="18" t="s">
        <v>61</v>
      </c>
      <c r="J184" s="18" t="s">
        <v>38</v>
      </c>
      <c r="K184" s="20" t="s">
        <v>43</v>
      </c>
      <c r="L184" s="20">
        <v>1502</v>
      </c>
      <c r="M184" s="20" t="s">
        <v>998</v>
      </c>
      <c r="N184" s="20">
        <v>25</v>
      </c>
      <c r="O184" s="20" t="s">
        <v>30</v>
      </c>
      <c r="P184" s="20" t="s">
        <v>30</v>
      </c>
      <c r="Q184" s="21">
        <v>46247</v>
      </c>
      <c r="R184" s="21">
        <v>46248</v>
      </c>
      <c r="S184" s="20" t="s">
        <v>41</v>
      </c>
      <c r="T184" s="18" t="s">
        <v>42</v>
      </c>
      <c r="U184" s="20" t="s">
        <v>1113</v>
      </c>
    </row>
    <row r="185" spans="1:21" ht="33.6" customHeight="1" thickTop="1" thickBot="1">
      <c r="A185" s="18" t="str">
        <f t="shared" si="2"/>
        <v>agosto</v>
      </c>
      <c r="B185" s="18" t="s">
        <v>899</v>
      </c>
      <c r="C185" s="7" t="s">
        <v>7</v>
      </c>
      <c r="D185" s="7" t="s">
        <v>8</v>
      </c>
      <c r="E185" s="18" t="s">
        <v>939</v>
      </c>
      <c r="F185" s="18" t="s">
        <v>940</v>
      </c>
      <c r="G185" s="19" t="s">
        <v>941</v>
      </c>
      <c r="H185" s="18" t="s">
        <v>37</v>
      </c>
      <c r="I185" s="18" t="s">
        <v>942</v>
      </c>
      <c r="J185" s="18" t="s">
        <v>55</v>
      </c>
      <c r="K185" s="20" t="s">
        <v>34</v>
      </c>
      <c r="L185" s="20">
        <v>1502</v>
      </c>
      <c r="M185" s="20" t="s">
        <v>999</v>
      </c>
      <c r="N185" s="20" t="s">
        <v>30</v>
      </c>
      <c r="O185" s="20" t="s">
        <v>30</v>
      </c>
      <c r="P185" s="20" t="s">
        <v>30</v>
      </c>
      <c r="Q185" s="21">
        <v>46245</v>
      </c>
      <c r="R185" s="21">
        <v>46248</v>
      </c>
      <c r="S185" s="20" t="s">
        <v>53</v>
      </c>
      <c r="T185" s="18" t="s">
        <v>31</v>
      </c>
      <c r="U185" s="18" t="s">
        <v>30</v>
      </c>
    </row>
    <row r="186" spans="1:21" ht="33.6" customHeight="1" thickTop="1" thickBot="1">
      <c r="A186" s="18" t="str">
        <f t="shared" si="2"/>
        <v>agosto</v>
      </c>
      <c r="B186" s="18" t="s">
        <v>897</v>
      </c>
      <c r="C186" s="7" t="s">
        <v>7</v>
      </c>
      <c r="D186" s="7" t="s">
        <v>8</v>
      </c>
      <c r="E186" s="18" t="s">
        <v>929</v>
      </c>
      <c r="F186" s="18" t="s">
        <v>930</v>
      </c>
      <c r="G186" s="19" t="s">
        <v>931</v>
      </c>
      <c r="H186" s="18" t="s">
        <v>37</v>
      </c>
      <c r="I186" s="18" t="s">
        <v>932</v>
      </c>
      <c r="J186" s="18" t="s">
        <v>55</v>
      </c>
      <c r="K186" s="20" t="s">
        <v>43</v>
      </c>
      <c r="L186" s="20">
        <v>1501</v>
      </c>
      <c r="M186" s="20" t="s">
        <v>1000</v>
      </c>
      <c r="N186" s="20">
        <v>25</v>
      </c>
      <c r="O186" s="20" t="s">
        <v>30</v>
      </c>
      <c r="P186" s="20" t="s">
        <v>30</v>
      </c>
      <c r="Q186" s="21">
        <v>46245</v>
      </c>
      <c r="R186" s="21">
        <v>46248</v>
      </c>
      <c r="S186" s="20" t="s">
        <v>53</v>
      </c>
      <c r="T186" s="18" t="s">
        <v>31</v>
      </c>
      <c r="U186" s="20" t="s">
        <v>1113</v>
      </c>
    </row>
    <row r="187" spans="1:21" ht="33.6" customHeight="1" thickTop="1" thickBot="1">
      <c r="A187" s="18" t="str">
        <f t="shared" si="2"/>
        <v>agosto</v>
      </c>
      <c r="B187" s="18" t="s">
        <v>974</v>
      </c>
      <c r="C187" s="7" t="s">
        <v>7</v>
      </c>
      <c r="D187" s="7" t="s">
        <v>8</v>
      </c>
      <c r="E187" s="18" t="s">
        <v>1001</v>
      </c>
      <c r="F187" s="18" t="s">
        <v>1002</v>
      </c>
      <c r="G187" s="19" t="s">
        <v>1003</v>
      </c>
      <c r="H187" s="18" t="s">
        <v>32</v>
      </c>
      <c r="I187" s="18" t="s">
        <v>1004</v>
      </c>
      <c r="J187" s="18" t="s">
        <v>51</v>
      </c>
      <c r="K187" s="20" t="s">
        <v>34</v>
      </c>
      <c r="L187" s="20">
        <v>1502</v>
      </c>
      <c r="M187" s="20" t="s">
        <v>1005</v>
      </c>
      <c r="N187" s="20" t="s">
        <v>30</v>
      </c>
      <c r="O187" s="20" t="s">
        <v>30</v>
      </c>
      <c r="P187" s="20" t="s">
        <v>30</v>
      </c>
      <c r="Q187" s="21">
        <v>46247</v>
      </c>
      <c r="R187" s="21">
        <v>46248</v>
      </c>
      <c r="S187" s="20" t="s">
        <v>49</v>
      </c>
      <c r="T187" s="18" t="s">
        <v>31</v>
      </c>
      <c r="U187" s="18" t="s">
        <v>30</v>
      </c>
    </row>
    <row r="188" spans="1:21" ht="33.6" customHeight="1" thickTop="1" thickBot="1">
      <c r="A188" s="18" t="str">
        <f t="shared" si="2"/>
        <v>agosto</v>
      </c>
      <c r="B188" s="18" t="s">
        <v>975</v>
      </c>
      <c r="C188" s="7" t="s">
        <v>7</v>
      </c>
      <c r="D188" s="7" t="s">
        <v>8</v>
      </c>
      <c r="E188" s="18" t="s">
        <v>1006</v>
      </c>
      <c r="F188" s="18" t="s">
        <v>1007</v>
      </c>
      <c r="G188" s="19" t="s">
        <v>1008</v>
      </c>
      <c r="H188" s="18" t="s">
        <v>64</v>
      </c>
      <c r="I188" s="18" t="s">
        <v>1009</v>
      </c>
      <c r="J188" s="18" t="s">
        <v>55</v>
      </c>
      <c r="K188" s="20" t="s">
        <v>43</v>
      </c>
      <c r="L188" s="20">
        <v>1502</v>
      </c>
      <c r="M188" s="20" t="s">
        <v>1010</v>
      </c>
      <c r="N188" s="20">
        <v>50</v>
      </c>
      <c r="O188" s="20" t="s">
        <v>30</v>
      </c>
      <c r="P188" s="20" t="s">
        <v>30</v>
      </c>
      <c r="Q188" s="21">
        <v>46247</v>
      </c>
      <c r="R188" s="21">
        <v>46248</v>
      </c>
      <c r="S188" s="20" t="s">
        <v>49</v>
      </c>
      <c r="T188" s="18" t="s">
        <v>31</v>
      </c>
      <c r="U188" s="20" t="s">
        <v>1114</v>
      </c>
    </row>
    <row r="189" spans="1:21" ht="33.6" customHeight="1" thickTop="1" thickBot="1">
      <c r="A189" s="18" t="str">
        <f t="shared" si="2"/>
        <v>agosto</v>
      </c>
      <c r="B189" s="18" t="s">
        <v>976</v>
      </c>
      <c r="C189" s="7" t="s">
        <v>7</v>
      </c>
      <c r="D189" s="7" t="s">
        <v>8</v>
      </c>
      <c r="E189" s="18" t="s">
        <v>1011</v>
      </c>
      <c r="F189" s="18" t="s">
        <v>1012</v>
      </c>
      <c r="G189" s="19" t="s">
        <v>1013</v>
      </c>
      <c r="H189" s="18" t="s">
        <v>40</v>
      </c>
      <c r="I189" s="18" t="s">
        <v>1014</v>
      </c>
      <c r="J189" s="18" t="s">
        <v>62</v>
      </c>
      <c r="K189" s="20" t="s">
        <v>43</v>
      </c>
      <c r="L189" s="20">
        <v>1502</v>
      </c>
      <c r="M189" s="20" t="s">
        <v>1015</v>
      </c>
      <c r="N189" s="20">
        <v>80</v>
      </c>
      <c r="O189" s="20" t="s">
        <v>30</v>
      </c>
      <c r="P189" s="20" t="s">
        <v>30</v>
      </c>
      <c r="Q189" s="21">
        <v>46247</v>
      </c>
      <c r="R189" s="21">
        <v>46248</v>
      </c>
      <c r="S189" s="20" t="s">
        <v>35</v>
      </c>
      <c r="T189" s="18" t="s">
        <v>31</v>
      </c>
      <c r="U189" s="20" t="s">
        <v>1113</v>
      </c>
    </row>
    <row r="190" spans="1:21" ht="33.6" customHeight="1" thickTop="1" thickBot="1">
      <c r="A190" s="18" t="str">
        <f t="shared" si="2"/>
        <v>agosto</v>
      </c>
      <c r="B190" s="18" t="s">
        <v>977</v>
      </c>
      <c r="C190" s="7" t="s">
        <v>9</v>
      </c>
      <c r="D190" s="7" t="s">
        <v>10</v>
      </c>
      <c r="E190" s="18" t="s">
        <v>1016</v>
      </c>
      <c r="F190" s="18" t="s">
        <v>1017</v>
      </c>
      <c r="G190" s="19" t="s">
        <v>1018</v>
      </c>
      <c r="H190" s="18" t="s">
        <v>37</v>
      </c>
      <c r="I190" s="18" t="s">
        <v>1019</v>
      </c>
      <c r="J190" s="18" t="s">
        <v>59</v>
      </c>
      <c r="K190" s="20" t="s">
        <v>43</v>
      </c>
      <c r="L190" s="20">
        <v>1502</v>
      </c>
      <c r="M190" s="20" t="s">
        <v>1020</v>
      </c>
      <c r="N190" s="20">
        <v>25</v>
      </c>
      <c r="O190" s="20" t="s">
        <v>30</v>
      </c>
      <c r="P190" s="20" t="s">
        <v>30</v>
      </c>
      <c r="Q190" s="21">
        <v>46247</v>
      </c>
      <c r="R190" s="21">
        <v>46248</v>
      </c>
      <c r="S190" s="20" t="s">
        <v>41</v>
      </c>
      <c r="T190" s="18" t="s">
        <v>42</v>
      </c>
      <c r="U190" s="20" t="s">
        <v>1113</v>
      </c>
    </row>
    <row r="191" spans="1:21" ht="33.6" customHeight="1" thickTop="1" thickBot="1">
      <c r="A191" s="18" t="str">
        <f t="shared" si="2"/>
        <v>agosto</v>
      </c>
      <c r="B191" s="18" t="s">
        <v>978</v>
      </c>
      <c r="C191" s="7" t="s">
        <v>7</v>
      </c>
      <c r="D191" s="7" t="s">
        <v>8</v>
      </c>
      <c r="E191" s="18" t="s">
        <v>1021</v>
      </c>
      <c r="F191" s="18" t="s">
        <v>1022</v>
      </c>
      <c r="G191" s="19" t="s">
        <v>1023</v>
      </c>
      <c r="H191" s="18" t="s">
        <v>37</v>
      </c>
      <c r="I191" s="18" t="s">
        <v>1024</v>
      </c>
      <c r="J191" s="18" t="s">
        <v>59</v>
      </c>
      <c r="K191" s="20" t="s">
        <v>43</v>
      </c>
      <c r="L191" s="20">
        <v>1502</v>
      </c>
      <c r="M191" s="20" t="s">
        <v>1025</v>
      </c>
      <c r="N191" s="20" t="s">
        <v>30</v>
      </c>
      <c r="O191" s="20" t="s">
        <v>30</v>
      </c>
      <c r="P191" s="20" t="s">
        <v>30</v>
      </c>
      <c r="Q191" s="21">
        <v>46248</v>
      </c>
      <c r="R191" s="21">
        <v>46248</v>
      </c>
      <c r="S191" s="20" t="s">
        <v>52</v>
      </c>
      <c r="T191" s="18" t="s">
        <v>31</v>
      </c>
      <c r="U191" s="20" t="s">
        <v>1113</v>
      </c>
    </row>
    <row r="192" spans="1:21" ht="33.6" customHeight="1" thickTop="1" thickBot="1">
      <c r="A192" s="18" t="str">
        <f t="shared" si="2"/>
        <v>agosto</v>
      </c>
      <c r="B192" s="18" t="s">
        <v>979</v>
      </c>
      <c r="E192" s="18" t="s">
        <v>1026</v>
      </c>
      <c r="F192" s="18" t="s">
        <v>1027</v>
      </c>
      <c r="G192" s="19" t="s">
        <v>1028</v>
      </c>
      <c r="H192" s="18" t="s">
        <v>37</v>
      </c>
      <c r="I192" s="18" t="s">
        <v>1029</v>
      </c>
      <c r="J192" s="18" t="s">
        <v>60</v>
      </c>
      <c r="K192" s="20" t="s">
        <v>34</v>
      </c>
      <c r="L192" s="20">
        <v>1502</v>
      </c>
      <c r="M192" s="20" t="s">
        <v>1030</v>
      </c>
      <c r="N192" s="20" t="s">
        <v>30</v>
      </c>
      <c r="O192" s="20" t="s">
        <v>30</v>
      </c>
      <c r="P192" s="20" t="s">
        <v>30</v>
      </c>
      <c r="Q192" s="21">
        <v>46248</v>
      </c>
      <c r="R192" s="21">
        <v>46248</v>
      </c>
      <c r="S192" s="20" t="s">
        <v>56</v>
      </c>
      <c r="T192" s="18" t="s">
        <v>30</v>
      </c>
      <c r="U192" s="18" t="s">
        <v>30</v>
      </c>
    </row>
    <row r="193" spans="1:21" ht="33.6" customHeight="1" thickTop="1" thickBot="1">
      <c r="A193" s="18" t="str">
        <f t="shared" si="2"/>
        <v>agosto</v>
      </c>
      <c r="B193" s="18" t="s">
        <v>980</v>
      </c>
      <c r="E193" s="18" t="s">
        <v>1031</v>
      </c>
      <c r="F193" s="18" t="s">
        <v>1032</v>
      </c>
      <c r="G193" s="19" t="s">
        <v>1033</v>
      </c>
      <c r="H193" s="18" t="s">
        <v>32</v>
      </c>
      <c r="I193" s="18" t="s">
        <v>1034</v>
      </c>
      <c r="J193" s="18" t="s">
        <v>50</v>
      </c>
      <c r="K193" s="20" t="s">
        <v>34</v>
      </c>
      <c r="L193" s="20">
        <v>1502</v>
      </c>
      <c r="M193" s="20" t="s">
        <v>1035</v>
      </c>
      <c r="N193" s="20" t="s">
        <v>30</v>
      </c>
      <c r="O193" s="20" t="s">
        <v>30</v>
      </c>
      <c r="P193" s="20" t="s">
        <v>30</v>
      </c>
      <c r="Q193" s="21">
        <v>46248</v>
      </c>
      <c r="R193" s="21">
        <v>46248</v>
      </c>
      <c r="S193" s="20" t="s">
        <v>56</v>
      </c>
      <c r="T193" s="18" t="s">
        <v>30</v>
      </c>
      <c r="U193" s="18" t="s">
        <v>30</v>
      </c>
    </row>
    <row r="194" spans="1:21" ht="33.6" customHeight="1" thickTop="1" thickBot="1">
      <c r="A194" s="18" t="str">
        <f t="shared" si="2"/>
        <v>agosto</v>
      </c>
      <c r="B194" s="18" t="s">
        <v>981</v>
      </c>
      <c r="E194" s="18" t="s">
        <v>1036</v>
      </c>
      <c r="F194" s="18" t="s">
        <v>1037</v>
      </c>
      <c r="G194" s="19" t="s">
        <v>1038</v>
      </c>
      <c r="H194" s="18" t="s">
        <v>37</v>
      </c>
      <c r="I194" s="18" t="s">
        <v>1039</v>
      </c>
      <c r="J194" s="18" t="s">
        <v>59</v>
      </c>
      <c r="K194" s="20" t="s">
        <v>34</v>
      </c>
      <c r="L194" s="20">
        <v>1502</v>
      </c>
      <c r="M194" s="20" t="s">
        <v>1040</v>
      </c>
      <c r="N194" s="20" t="s">
        <v>30</v>
      </c>
      <c r="O194" s="20" t="s">
        <v>30</v>
      </c>
      <c r="P194" s="20" t="s">
        <v>30</v>
      </c>
      <c r="Q194" s="21">
        <v>46248</v>
      </c>
      <c r="R194" s="21">
        <v>46248</v>
      </c>
      <c r="S194" s="20" t="s">
        <v>56</v>
      </c>
      <c r="T194" s="18" t="s">
        <v>30</v>
      </c>
      <c r="U194" s="18" t="s">
        <v>30</v>
      </c>
    </row>
    <row r="195" spans="1:21" ht="33.6" customHeight="1" thickTop="1" thickBot="1">
      <c r="A195" s="18" t="str">
        <f t="shared" ref="A195:A258" si="3">TEXT(R195,"MMMM")</f>
        <v>agosto</v>
      </c>
      <c r="B195" s="18" t="s">
        <v>643</v>
      </c>
      <c r="C195" s="7" t="s">
        <v>7</v>
      </c>
      <c r="D195" s="7" t="s">
        <v>8</v>
      </c>
      <c r="E195" s="18" t="s">
        <v>701</v>
      </c>
      <c r="F195" s="18" t="s">
        <v>702</v>
      </c>
      <c r="G195" s="19" t="s">
        <v>703</v>
      </c>
      <c r="H195" s="18" t="s">
        <v>40</v>
      </c>
      <c r="I195" s="18" t="s">
        <v>485</v>
      </c>
      <c r="J195" s="18" t="s">
        <v>62</v>
      </c>
      <c r="K195" s="20" t="s">
        <v>63</v>
      </c>
      <c r="L195" s="20">
        <v>1502</v>
      </c>
      <c r="M195" s="20" t="s">
        <v>1053</v>
      </c>
      <c r="N195" s="20" t="s">
        <v>30</v>
      </c>
      <c r="O195" s="20" t="s">
        <v>30</v>
      </c>
      <c r="P195" s="20" t="s">
        <v>30</v>
      </c>
      <c r="Q195" s="21">
        <v>46242</v>
      </c>
      <c r="R195" s="21">
        <v>46249</v>
      </c>
      <c r="S195" s="20" t="s">
        <v>35</v>
      </c>
      <c r="T195" s="18" t="s">
        <v>31</v>
      </c>
      <c r="U195" s="18" t="s">
        <v>30</v>
      </c>
    </row>
    <row r="196" spans="1:21" ht="33.6" customHeight="1" thickTop="1" thickBot="1">
      <c r="A196" s="18" t="str">
        <f t="shared" si="3"/>
        <v>agosto</v>
      </c>
      <c r="B196" s="18" t="s">
        <v>564</v>
      </c>
      <c r="C196" s="7" t="s">
        <v>7</v>
      </c>
      <c r="D196" s="7" t="s">
        <v>8</v>
      </c>
      <c r="E196" s="18" t="s">
        <v>587</v>
      </c>
      <c r="F196" s="18" t="s">
        <v>588</v>
      </c>
      <c r="G196" s="19" t="s">
        <v>589</v>
      </c>
      <c r="H196" s="18" t="s">
        <v>37</v>
      </c>
      <c r="I196" s="18" t="s">
        <v>590</v>
      </c>
      <c r="J196" s="18" t="s">
        <v>55</v>
      </c>
      <c r="K196" s="20" t="s">
        <v>43</v>
      </c>
      <c r="L196" s="20">
        <v>1501</v>
      </c>
      <c r="M196" s="20" t="s">
        <v>1054</v>
      </c>
      <c r="N196" s="20" t="s">
        <v>112</v>
      </c>
      <c r="O196" s="20" t="s">
        <v>30</v>
      </c>
      <c r="P196" s="20">
        <v>2</v>
      </c>
      <c r="Q196" s="21">
        <v>46239</v>
      </c>
      <c r="R196" s="21">
        <v>46249</v>
      </c>
      <c r="S196" s="20" t="s">
        <v>53</v>
      </c>
      <c r="T196" s="18" t="s">
        <v>31</v>
      </c>
      <c r="U196" s="20" t="s">
        <v>1113</v>
      </c>
    </row>
    <row r="197" spans="1:21" ht="33.6" customHeight="1" thickTop="1" thickBot="1">
      <c r="A197" s="18" t="str">
        <f t="shared" si="3"/>
        <v>agosto</v>
      </c>
      <c r="B197" s="18" t="s">
        <v>1041</v>
      </c>
      <c r="C197" s="7" t="s">
        <v>7</v>
      </c>
      <c r="D197" s="7" t="s">
        <v>8</v>
      </c>
      <c r="E197" s="18" t="s">
        <v>1055</v>
      </c>
      <c r="F197" s="18" t="s">
        <v>1056</v>
      </c>
      <c r="G197" s="19" t="s">
        <v>1057</v>
      </c>
      <c r="H197" s="18" t="s">
        <v>37</v>
      </c>
      <c r="I197" s="18" t="s">
        <v>1058</v>
      </c>
      <c r="J197" s="18" t="s">
        <v>55</v>
      </c>
      <c r="K197" s="20" t="s">
        <v>43</v>
      </c>
      <c r="L197" s="20">
        <v>1502</v>
      </c>
      <c r="M197" s="20" t="s">
        <v>1059</v>
      </c>
      <c r="N197" s="20">
        <v>25</v>
      </c>
      <c r="O197" s="20" t="s">
        <v>30</v>
      </c>
      <c r="P197" s="20" t="s">
        <v>30</v>
      </c>
      <c r="Q197" s="21">
        <v>46248</v>
      </c>
      <c r="R197" s="21">
        <v>46249</v>
      </c>
      <c r="S197" s="20" t="s">
        <v>53</v>
      </c>
      <c r="T197" s="18" t="s">
        <v>31</v>
      </c>
      <c r="U197" s="20" t="s">
        <v>1114</v>
      </c>
    </row>
    <row r="198" spans="1:21" ht="33.6" customHeight="1" thickTop="1" thickBot="1">
      <c r="A198" s="18" t="str">
        <f t="shared" si="3"/>
        <v>agosto</v>
      </c>
      <c r="B198" s="18" t="s">
        <v>1042</v>
      </c>
      <c r="C198" s="7" t="s">
        <v>7</v>
      </c>
      <c r="D198" s="7" t="s">
        <v>8</v>
      </c>
      <c r="E198" s="18" t="s">
        <v>1060</v>
      </c>
      <c r="F198" s="18" t="s">
        <v>1061</v>
      </c>
      <c r="G198" s="19" t="s">
        <v>1062</v>
      </c>
      <c r="H198" s="18" t="s">
        <v>46</v>
      </c>
      <c r="I198" s="18" t="s">
        <v>100</v>
      </c>
      <c r="J198" s="18" t="s">
        <v>62</v>
      </c>
      <c r="K198" s="20" t="s">
        <v>43</v>
      </c>
      <c r="L198" s="20">
        <v>1502</v>
      </c>
      <c r="M198" s="20" t="s">
        <v>1063</v>
      </c>
      <c r="N198" s="20">
        <v>100</v>
      </c>
      <c r="O198" s="20" t="s">
        <v>30</v>
      </c>
      <c r="P198" s="20">
        <v>4</v>
      </c>
      <c r="Q198" s="21">
        <v>46248</v>
      </c>
      <c r="R198" s="21">
        <v>46249</v>
      </c>
      <c r="S198" s="20" t="s">
        <v>35</v>
      </c>
      <c r="T198" s="18" t="s">
        <v>31</v>
      </c>
      <c r="U198" s="20" t="s">
        <v>1113</v>
      </c>
    </row>
    <row r="199" spans="1:21" ht="33.6" customHeight="1" thickTop="1" thickBot="1">
      <c r="A199" s="18" t="str">
        <f t="shared" si="3"/>
        <v>agosto</v>
      </c>
      <c r="B199" s="18" t="s">
        <v>1043</v>
      </c>
      <c r="C199" s="7" t="s">
        <v>9</v>
      </c>
      <c r="D199" s="7" t="s">
        <v>10</v>
      </c>
      <c r="E199" s="18" t="s">
        <v>1064</v>
      </c>
      <c r="F199" s="18" t="s">
        <v>1065</v>
      </c>
      <c r="G199" s="19" t="s">
        <v>1066</v>
      </c>
      <c r="H199" s="18" t="s">
        <v>40</v>
      </c>
      <c r="I199" s="18" t="s">
        <v>65</v>
      </c>
      <c r="J199" s="18" t="s">
        <v>38</v>
      </c>
      <c r="K199" s="20" t="s">
        <v>34</v>
      </c>
      <c r="L199" s="20">
        <v>1502</v>
      </c>
      <c r="M199" s="20" t="s">
        <v>1067</v>
      </c>
      <c r="N199" s="20" t="s">
        <v>30</v>
      </c>
      <c r="O199" s="20" t="s">
        <v>30</v>
      </c>
      <c r="P199" s="20" t="s">
        <v>30</v>
      </c>
      <c r="Q199" s="21">
        <v>46248</v>
      </c>
      <c r="R199" s="21">
        <v>46249</v>
      </c>
      <c r="S199" s="20" t="s">
        <v>41</v>
      </c>
      <c r="T199" s="18" t="s">
        <v>42</v>
      </c>
      <c r="U199" s="18" t="s">
        <v>30</v>
      </c>
    </row>
    <row r="200" spans="1:21" ht="33.6" customHeight="1" thickTop="1" thickBot="1">
      <c r="A200" s="18" t="str">
        <f t="shared" si="3"/>
        <v>agosto</v>
      </c>
      <c r="B200" s="18" t="s">
        <v>1044</v>
      </c>
      <c r="C200" s="7" t="s">
        <v>9</v>
      </c>
      <c r="D200" s="7" t="s">
        <v>10</v>
      </c>
      <c r="E200" s="18" t="s">
        <v>1068</v>
      </c>
      <c r="F200" s="18" t="s">
        <v>1069</v>
      </c>
      <c r="G200" s="19" t="s">
        <v>1070</v>
      </c>
      <c r="H200" s="18" t="s">
        <v>40</v>
      </c>
      <c r="I200" s="18" t="s">
        <v>65</v>
      </c>
      <c r="J200" s="18" t="s">
        <v>38</v>
      </c>
      <c r="K200" s="20" t="s">
        <v>34</v>
      </c>
      <c r="L200" s="20">
        <v>1502</v>
      </c>
      <c r="M200" s="20" t="s">
        <v>1071</v>
      </c>
      <c r="N200" s="20" t="s">
        <v>30</v>
      </c>
      <c r="O200" s="20" t="s">
        <v>30</v>
      </c>
      <c r="P200" s="20" t="s">
        <v>30</v>
      </c>
      <c r="Q200" s="21">
        <v>46248</v>
      </c>
      <c r="R200" s="21">
        <v>46249</v>
      </c>
      <c r="S200" s="20" t="s">
        <v>41</v>
      </c>
      <c r="T200" s="18" t="s">
        <v>42</v>
      </c>
      <c r="U200" s="18" t="s">
        <v>30</v>
      </c>
    </row>
    <row r="201" spans="1:21" ht="33.6" customHeight="1" thickTop="1" thickBot="1">
      <c r="A201" s="18" t="str">
        <f t="shared" si="3"/>
        <v>agosto</v>
      </c>
      <c r="B201" s="18" t="s">
        <v>1045</v>
      </c>
      <c r="C201" s="7" t="s">
        <v>7</v>
      </c>
      <c r="D201" s="7" t="s">
        <v>8</v>
      </c>
      <c r="E201" s="18" t="s">
        <v>1072</v>
      </c>
      <c r="F201" s="18" t="s">
        <v>1073</v>
      </c>
      <c r="G201" s="19" t="s">
        <v>1074</v>
      </c>
      <c r="H201" s="18" t="s">
        <v>46</v>
      </c>
      <c r="I201" s="18" t="s">
        <v>100</v>
      </c>
      <c r="J201" s="18" t="s">
        <v>51</v>
      </c>
      <c r="K201" s="20" t="s">
        <v>39</v>
      </c>
      <c r="L201" s="20">
        <v>1502</v>
      </c>
      <c r="M201" s="20" t="s">
        <v>1075</v>
      </c>
      <c r="N201" s="20" t="s">
        <v>30</v>
      </c>
      <c r="O201" s="20" t="s">
        <v>30</v>
      </c>
      <c r="P201" s="20" t="s">
        <v>30</v>
      </c>
      <c r="Q201" s="21">
        <v>46248</v>
      </c>
      <c r="R201" s="21">
        <v>46249</v>
      </c>
      <c r="S201" s="20" t="s">
        <v>52</v>
      </c>
      <c r="T201" s="18" t="s">
        <v>31</v>
      </c>
      <c r="U201" s="18" t="s">
        <v>30</v>
      </c>
    </row>
    <row r="202" spans="1:21" ht="33.6" customHeight="1" thickTop="1" thickBot="1">
      <c r="A202" s="18" t="str">
        <f t="shared" si="3"/>
        <v>agosto</v>
      </c>
      <c r="B202" s="18" t="s">
        <v>1046</v>
      </c>
      <c r="C202" s="7" t="s">
        <v>7</v>
      </c>
      <c r="D202" s="7" t="s">
        <v>8</v>
      </c>
      <c r="E202" s="18" t="s">
        <v>1076</v>
      </c>
      <c r="F202" s="18" t="s">
        <v>1077</v>
      </c>
      <c r="G202" s="19" t="s">
        <v>1078</v>
      </c>
      <c r="H202" s="18" t="s">
        <v>64</v>
      </c>
      <c r="I202" s="18" t="s">
        <v>91</v>
      </c>
      <c r="J202" s="18" t="s">
        <v>55</v>
      </c>
      <c r="K202" s="20" t="s">
        <v>43</v>
      </c>
      <c r="L202" s="20">
        <v>1502</v>
      </c>
      <c r="M202" s="20" t="s">
        <v>1079</v>
      </c>
      <c r="N202" s="20">
        <v>65</v>
      </c>
      <c r="O202" s="20" t="s">
        <v>30</v>
      </c>
      <c r="P202" s="20" t="s">
        <v>30</v>
      </c>
      <c r="Q202" s="21">
        <v>46248</v>
      </c>
      <c r="R202" s="21">
        <v>46249</v>
      </c>
      <c r="S202" s="20" t="s">
        <v>52</v>
      </c>
      <c r="T202" s="18" t="s">
        <v>31</v>
      </c>
      <c r="U202" s="20" t="s">
        <v>1113</v>
      </c>
    </row>
    <row r="203" spans="1:21" ht="33.6" customHeight="1" thickTop="1" thickBot="1">
      <c r="A203" s="18" t="str">
        <f t="shared" si="3"/>
        <v>agosto</v>
      </c>
      <c r="B203" s="18" t="s">
        <v>1047</v>
      </c>
      <c r="C203" s="7" t="s">
        <v>7</v>
      </c>
      <c r="D203" s="7" t="s">
        <v>8</v>
      </c>
      <c r="E203" s="18" t="s">
        <v>1080</v>
      </c>
      <c r="F203" s="18" t="s">
        <v>1081</v>
      </c>
      <c r="G203" s="19" t="s">
        <v>1082</v>
      </c>
      <c r="H203" s="18" t="s">
        <v>46</v>
      </c>
      <c r="I203" s="18" t="s">
        <v>1083</v>
      </c>
      <c r="J203" s="18" t="s">
        <v>62</v>
      </c>
      <c r="K203" s="20" t="s">
        <v>39</v>
      </c>
      <c r="L203" s="20">
        <v>1502</v>
      </c>
      <c r="M203" s="20" t="s">
        <v>1084</v>
      </c>
      <c r="N203" s="20" t="s">
        <v>30</v>
      </c>
      <c r="O203" s="20" t="s">
        <v>30</v>
      </c>
      <c r="P203" s="20" t="s">
        <v>30</v>
      </c>
      <c r="Q203" s="21">
        <v>46248</v>
      </c>
      <c r="R203" s="21">
        <v>46249</v>
      </c>
      <c r="S203" s="20" t="s">
        <v>35</v>
      </c>
      <c r="T203" s="18" t="s">
        <v>31</v>
      </c>
      <c r="U203" s="18" t="s">
        <v>30</v>
      </c>
    </row>
    <row r="204" spans="1:21" ht="33.6" customHeight="1" thickTop="1" thickBot="1">
      <c r="A204" s="18" t="str">
        <f t="shared" si="3"/>
        <v>agosto</v>
      </c>
      <c r="B204" s="18" t="s">
        <v>1048</v>
      </c>
      <c r="C204" s="7" t="s">
        <v>7</v>
      </c>
      <c r="D204" s="7" t="s">
        <v>8</v>
      </c>
      <c r="E204" s="18" t="s">
        <v>1085</v>
      </c>
      <c r="F204" s="18" t="s">
        <v>1086</v>
      </c>
      <c r="G204" s="19" t="s">
        <v>1087</v>
      </c>
      <c r="H204" s="18" t="s">
        <v>46</v>
      </c>
      <c r="I204" s="18" t="s">
        <v>1088</v>
      </c>
      <c r="J204" s="18" t="s">
        <v>51</v>
      </c>
      <c r="K204" s="20" t="s">
        <v>43</v>
      </c>
      <c r="L204" s="20">
        <v>1502</v>
      </c>
      <c r="M204" s="20" t="s">
        <v>1089</v>
      </c>
      <c r="N204" s="20">
        <v>35</v>
      </c>
      <c r="O204" s="20" t="s">
        <v>30</v>
      </c>
      <c r="P204" s="20" t="s">
        <v>30</v>
      </c>
      <c r="Q204" s="21">
        <v>46248</v>
      </c>
      <c r="R204" s="21">
        <v>46249</v>
      </c>
      <c r="S204" s="20" t="s">
        <v>49</v>
      </c>
      <c r="T204" s="18" t="s">
        <v>31</v>
      </c>
      <c r="U204" s="20" t="s">
        <v>1113</v>
      </c>
    </row>
    <row r="205" spans="1:21" ht="33.6" customHeight="1" thickTop="1" thickBot="1">
      <c r="A205" s="18" t="str">
        <f t="shared" si="3"/>
        <v>agosto</v>
      </c>
      <c r="B205" s="18" t="s">
        <v>1049</v>
      </c>
      <c r="C205" s="7" t="s">
        <v>9</v>
      </c>
      <c r="D205" s="7" t="s">
        <v>10</v>
      </c>
      <c r="E205" s="18" t="s">
        <v>1090</v>
      </c>
      <c r="F205" s="18" t="s">
        <v>1091</v>
      </c>
      <c r="G205" s="19" t="s">
        <v>1092</v>
      </c>
      <c r="H205" s="18" t="s">
        <v>40</v>
      </c>
      <c r="I205" s="18" t="s">
        <v>1093</v>
      </c>
      <c r="J205" s="18" t="s">
        <v>38</v>
      </c>
      <c r="K205" s="20" t="s">
        <v>43</v>
      </c>
      <c r="L205" s="20">
        <v>1502</v>
      </c>
      <c r="M205" s="20" t="s">
        <v>1094</v>
      </c>
      <c r="N205" s="20">
        <v>15</v>
      </c>
      <c r="O205" s="20" t="s">
        <v>30</v>
      </c>
      <c r="P205" s="20" t="s">
        <v>30</v>
      </c>
      <c r="Q205" s="21">
        <v>46248</v>
      </c>
      <c r="R205" s="21">
        <v>46249</v>
      </c>
      <c r="S205" s="20" t="s">
        <v>41</v>
      </c>
      <c r="T205" s="18" t="s">
        <v>42</v>
      </c>
      <c r="U205" s="20" t="s">
        <v>1113</v>
      </c>
    </row>
    <row r="206" spans="1:21" ht="33.6" customHeight="1" thickTop="1" thickBot="1">
      <c r="A206" s="18" t="str">
        <f t="shared" si="3"/>
        <v>agosto</v>
      </c>
      <c r="B206" s="18" t="s">
        <v>1050</v>
      </c>
      <c r="C206" s="7" t="s">
        <v>7</v>
      </c>
      <c r="D206" s="7" t="s">
        <v>8</v>
      </c>
      <c r="E206" s="18" t="s">
        <v>1095</v>
      </c>
      <c r="F206" s="18" t="s">
        <v>1096</v>
      </c>
      <c r="G206" s="19" t="s">
        <v>1097</v>
      </c>
      <c r="H206" s="18" t="s">
        <v>46</v>
      </c>
      <c r="I206" s="18" t="s">
        <v>1098</v>
      </c>
      <c r="J206" s="18" t="s">
        <v>51</v>
      </c>
      <c r="K206" s="20" t="s">
        <v>43</v>
      </c>
      <c r="L206" s="20">
        <v>1502</v>
      </c>
      <c r="M206" s="20" t="s">
        <v>1099</v>
      </c>
      <c r="N206" s="20">
        <v>70</v>
      </c>
      <c r="O206" s="20" t="s">
        <v>30</v>
      </c>
      <c r="P206" s="20" t="s">
        <v>30</v>
      </c>
      <c r="Q206" s="21">
        <v>46248</v>
      </c>
      <c r="R206" s="21">
        <v>46249</v>
      </c>
      <c r="S206" s="20" t="s">
        <v>49</v>
      </c>
      <c r="T206" s="18" t="s">
        <v>31</v>
      </c>
      <c r="U206" s="20" t="s">
        <v>1113</v>
      </c>
    </row>
    <row r="207" spans="1:21" ht="33.6" customHeight="1" thickTop="1" thickBot="1">
      <c r="A207" s="18" t="str">
        <f t="shared" si="3"/>
        <v>agosto</v>
      </c>
      <c r="B207" s="18" t="s">
        <v>67</v>
      </c>
      <c r="E207" s="18" t="s">
        <v>68</v>
      </c>
      <c r="F207" s="18" t="s">
        <v>69</v>
      </c>
      <c r="G207" s="19" t="s">
        <v>70</v>
      </c>
      <c r="H207" s="18" t="s">
        <v>32</v>
      </c>
      <c r="I207" s="18" t="s">
        <v>1100</v>
      </c>
      <c r="J207" s="18" t="s">
        <v>50</v>
      </c>
      <c r="K207" s="20" t="s">
        <v>34</v>
      </c>
      <c r="L207" s="20">
        <v>1502</v>
      </c>
      <c r="M207" s="20" t="s">
        <v>1101</v>
      </c>
      <c r="N207" s="20" t="s">
        <v>30</v>
      </c>
      <c r="O207" s="20" t="s">
        <v>30</v>
      </c>
      <c r="P207" s="20" t="s">
        <v>30</v>
      </c>
      <c r="Q207" s="21">
        <v>46249</v>
      </c>
      <c r="R207" s="21">
        <v>46249</v>
      </c>
      <c r="S207" s="20" t="s">
        <v>56</v>
      </c>
      <c r="T207" s="18" t="s">
        <v>30</v>
      </c>
      <c r="U207" s="18" t="s">
        <v>30</v>
      </c>
    </row>
    <row r="208" spans="1:21" ht="33.6" customHeight="1" thickTop="1" thickBot="1">
      <c r="A208" s="18" t="str">
        <f t="shared" si="3"/>
        <v>agosto</v>
      </c>
      <c r="B208" s="18" t="s">
        <v>1051</v>
      </c>
      <c r="C208" s="7" t="s">
        <v>7</v>
      </c>
      <c r="D208" s="7" t="s">
        <v>8</v>
      </c>
      <c r="E208" s="18" t="s">
        <v>1102</v>
      </c>
      <c r="F208" s="18" t="s">
        <v>1103</v>
      </c>
      <c r="G208" s="19" t="s">
        <v>1104</v>
      </c>
      <c r="H208" s="18" t="s">
        <v>46</v>
      </c>
      <c r="I208" s="18" t="s">
        <v>195</v>
      </c>
      <c r="J208" s="18" t="s">
        <v>55</v>
      </c>
      <c r="K208" s="20" t="s">
        <v>34</v>
      </c>
      <c r="L208" s="20">
        <v>1502</v>
      </c>
      <c r="M208" s="20" t="s">
        <v>1105</v>
      </c>
      <c r="N208" s="20" t="s">
        <v>30</v>
      </c>
      <c r="O208" s="20" t="s">
        <v>30</v>
      </c>
      <c r="P208" s="20" t="s">
        <v>30</v>
      </c>
      <c r="Q208" s="21">
        <v>46249</v>
      </c>
      <c r="R208" s="21">
        <v>46249</v>
      </c>
      <c r="S208" s="20" t="s">
        <v>52</v>
      </c>
      <c r="T208" s="18" t="s">
        <v>31</v>
      </c>
      <c r="U208" s="18" t="s">
        <v>30</v>
      </c>
    </row>
    <row r="209" spans="1:21" ht="33.6" customHeight="1" thickTop="1" thickBot="1">
      <c r="A209" s="18" t="str">
        <f t="shared" si="3"/>
        <v>agosto</v>
      </c>
      <c r="B209" s="18" t="s">
        <v>1052</v>
      </c>
      <c r="E209" s="18" t="s">
        <v>1106</v>
      </c>
      <c r="F209" s="18" t="s">
        <v>1107</v>
      </c>
      <c r="G209" s="19" t="s">
        <v>1108</v>
      </c>
      <c r="H209" s="18" t="s">
        <v>37</v>
      </c>
      <c r="I209" s="18" t="s">
        <v>1109</v>
      </c>
      <c r="J209" s="18" t="s">
        <v>60</v>
      </c>
      <c r="K209" s="20" t="s">
        <v>34</v>
      </c>
      <c r="L209" s="20">
        <v>1502</v>
      </c>
      <c r="M209" s="20" t="s">
        <v>1110</v>
      </c>
      <c r="N209" s="20" t="s">
        <v>30</v>
      </c>
      <c r="O209" s="20" t="s">
        <v>30</v>
      </c>
      <c r="P209" s="20" t="s">
        <v>30</v>
      </c>
      <c r="Q209" s="21">
        <v>46249</v>
      </c>
      <c r="R209" s="21">
        <v>46249</v>
      </c>
      <c r="S209" s="20" t="s">
        <v>56</v>
      </c>
      <c r="T209" s="18" t="s">
        <v>30</v>
      </c>
      <c r="U209" s="18" t="s">
        <v>30</v>
      </c>
    </row>
    <row r="210" spans="1:21" ht="33.6" customHeight="1" thickTop="1" thickBot="1">
      <c r="A210" s="18" t="str">
        <f t="shared" si="3"/>
        <v>agosto</v>
      </c>
      <c r="B210" s="18" t="s">
        <v>1115</v>
      </c>
      <c r="C210" s="7" t="s">
        <v>7</v>
      </c>
      <c r="D210" s="7" t="s">
        <v>8</v>
      </c>
      <c r="E210" s="18" t="s">
        <v>1129</v>
      </c>
      <c r="F210" s="18" t="s">
        <v>1130</v>
      </c>
      <c r="G210" s="19" t="s">
        <v>1131</v>
      </c>
      <c r="H210" s="18" t="s">
        <v>46</v>
      </c>
      <c r="I210" s="18" t="s">
        <v>133</v>
      </c>
      <c r="J210" s="18" t="s">
        <v>62</v>
      </c>
      <c r="K210" s="20" t="s">
        <v>39</v>
      </c>
      <c r="L210" s="20">
        <v>1502</v>
      </c>
      <c r="M210" s="20" t="s">
        <v>1132</v>
      </c>
      <c r="N210" s="20" t="s">
        <v>30</v>
      </c>
      <c r="O210" s="20" t="s">
        <v>30</v>
      </c>
      <c r="P210" s="20" t="s">
        <v>30</v>
      </c>
      <c r="Q210" s="21">
        <v>46248</v>
      </c>
      <c r="R210" s="21">
        <v>46252</v>
      </c>
      <c r="S210" s="20" t="s">
        <v>35</v>
      </c>
      <c r="T210" s="18" t="s">
        <v>31</v>
      </c>
      <c r="U210" s="18" t="s">
        <v>30</v>
      </c>
    </row>
    <row r="211" spans="1:21" ht="33.6" customHeight="1" thickTop="1" thickBot="1">
      <c r="A211" s="18" t="str">
        <f t="shared" si="3"/>
        <v>agosto</v>
      </c>
      <c r="B211" s="18" t="s">
        <v>1116</v>
      </c>
      <c r="C211" s="7" t="s">
        <v>7</v>
      </c>
      <c r="D211" s="7" t="s">
        <v>8</v>
      </c>
      <c r="E211" s="18" t="s">
        <v>1133</v>
      </c>
      <c r="F211" s="18" t="s">
        <v>1134</v>
      </c>
      <c r="G211" s="19" t="s">
        <v>1135</v>
      </c>
      <c r="H211" s="18" t="s">
        <v>40</v>
      </c>
      <c r="I211" s="18" t="s">
        <v>65</v>
      </c>
      <c r="J211" s="18" t="s">
        <v>45</v>
      </c>
      <c r="K211" s="20" t="s">
        <v>43</v>
      </c>
      <c r="L211" s="20">
        <v>1502</v>
      </c>
      <c r="M211" s="20" t="s">
        <v>1136</v>
      </c>
      <c r="N211" s="20">
        <v>30</v>
      </c>
      <c r="O211" s="20" t="s">
        <v>30</v>
      </c>
      <c r="P211" s="20" t="s">
        <v>30</v>
      </c>
      <c r="Q211" s="21">
        <v>46248</v>
      </c>
      <c r="R211" s="21">
        <v>46252</v>
      </c>
      <c r="S211" s="20" t="s">
        <v>52</v>
      </c>
      <c r="T211" s="18" t="s">
        <v>31</v>
      </c>
      <c r="U211" s="20" t="s">
        <v>1113</v>
      </c>
    </row>
    <row r="212" spans="1:21" ht="33.6" customHeight="1" thickTop="1" thickBot="1">
      <c r="A212" s="18" t="str">
        <f t="shared" si="3"/>
        <v>agosto</v>
      </c>
      <c r="B212" s="18" t="s">
        <v>1117</v>
      </c>
      <c r="C212" s="7" t="s">
        <v>7</v>
      </c>
      <c r="D212" s="7" t="s">
        <v>8</v>
      </c>
      <c r="E212" s="18" t="s">
        <v>1137</v>
      </c>
      <c r="F212" s="18" t="s">
        <v>1138</v>
      </c>
      <c r="G212" s="19" t="s">
        <v>1139</v>
      </c>
      <c r="H212" s="18" t="s">
        <v>46</v>
      </c>
      <c r="I212" s="18" t="s">
        <v>1140</v>
      </c>
      <c r="J212" s="18" t="s">
        <v>62</v>
      </c>
      <c r="K212" s="20" t="s">
        <v>39</v>
      </c>
      <c r="L212" s="20">
        <v>1502</v>
      </c>
      <c r="M212" s="20" t="s">
        <v>1141</v>
      </c>
      <c r="N212" s="20" t="s">
        <v>30</v>
      </c>
      <c r="O212" s="20" t="s">
        <v>30</v>
      </c>
      <c r="P212" s="20" t="s">
        <v>30</v>
      </c>
      <c r="Q212" s="21">
        <v>46248</v>
      </c>
      <c r="R212" s="21">
        <v>46252</v>
      </c>
      <c r="S212" s="20" t="s">
        <v>35</v>
      </c>
      <c r="T212" s="18" t="s">
        <v>31</v>
      </c>
      <c r="U212" s="18" t="s">
        <v>30</v>
      </c>
    </row>
    <row r="213" spans="1:21" ht="33.6" customHeight="1" thickTop="1" thickBot="1">
      <c r="A213" s="18" t="str">
        <f t="shared" si="3"/>
        <v>agosto</v>
      </c>
      <c r="B213" s="18" t="s">
        <v>1118</v>
      </c>
      <c r="C213" s="7" t="s">
        <v>9</v>
      </c>
      <c r="D213" s="7" t="s">
        <v>10</v>
      </c>
      <c r="E213" s="18" t="s">
        <v>1142</v>
      </c>
      <c r="F213" s="18" t="s">
        <v>1143</v>
      </c>
      <c r="G213" s="19" t="s">
        <v>1144</v>
      </c>
      <c r="H213" s="18" t="s">
        <v>40</v>
      </c>
      <c r="I213" s="18" t="s">
        <v>61</v>
      </c>
      <c r="J213" s="18" t="s">
        <v>38</v>
      </c>
      <c r="K213" s="20" t="s">
        <v>39</v>
      </c>
      <c r="L213" s="20">
        <v>1502</v>
      </c>
      <c r="M213" s="20" t="s">
        <v>1145</v>
      </c>
      <c r="N213" s="20" t="s">
        <v>30</v>
      </c>
      <c r="O213" s="20" t="s">
        <v>30</v>
      </c>
      <c r="P213" s="20" t="s">
        <v>30</v>
      </c>
      <c r="Q213" s="21">
        <v>46248</v>
      </c>
      <c r="R213" s="21">
        <v>46252</v>
      </c>
      <c r="S213" s="20" t="s">
        <v>41</v>
      </c>
      <c r="T213" s="18" t="s">
        <v>42</v>
      </c>
      <c r="U213" s="18" t="s">
        <v>30</v>
      </c>
    </row>
    <row r="214" spans="1:21" ht="33.6" customHeight="1" thickTop="1" thickBot="1">
      <c r="A214" s="18" t="str">
        <f t="shared" si="3"/>
        <v>agosto</v>
      </c>
      <c r="B214" s="18" t="s">
        <v>1045</v>
      </c>
      <c r="C214" s="7" t="s">
        <v>7</v>
      </c>
      <c r="D214" s="7" t="s">
        <v>8</v>
      </c>
      <c r="E214" s="18" t="s">
        <v>1072</v>
      </c>
      <c r="F214" s="18" t="s">
        <v>1073</v>
      </c>
      <c r="G214" s="19" t="s">
        <v>1074</v>
      </c>
      <c r="H214" s="18" t="s">
        <v>46</v>
      </c>
      <c r="I214" s="18" t="s">
        <v>100</v>
      </c>
      <c r="J214" s="18" t="s">
        <v>51</v>
      </c>
      <c r="K214" s="20" t="s">
        <v>39</v>
      </c>
      <c r="L214" s="20">
        <v>1502</v>
      </c>
      <c r="M214" s="20" t="s">
        <v>1146</v>
      </c>
      <c r="N214" s="20" t="s">
        <v>30</v>
      </c>
      <c r="O214" s="20" t="s">
        <v>30</v>
      </c>
      <c r="P214" s="20" t="s">
        <v>30</v>
      </c>
      <c r="Q214" s="21">
        <v>46248</v>
      </c>
      <c r="R214" s="21">
        <v>46252</v>
      </c>
      <c r="S214" s="20" t="s">
        <v>53</v>
      </c>
      <c r="T214" s="18" t="s">
        <v>31</v>
      </c>
      <c r="U214" s="18" t="s">
        <v>30</v>
      </c>
    </row>
    <row r="215" spans="1:21" ht="33.6" customHeight="1" thickTop="1" thickBot="1">
      <c r="A215" s="18" t="str">
        <f t="shared" si="3"/>
        <v>agosto</v>
      </c>
      <c r="B215" s="18" t="s">
        <v>1119</v>
      </c>
      <c r="C215" s="7" t="s">
        <v>7</v>
      </c>
      <c r="D215" s="7" t="s">
        <v>8</v>
      </c>
      <c r="E215" s="18" t="s">
        <v>1147</v>
      </c>
      <c r="F215" s="18" t="s">
        <v>1148</v>
      </c>
      <c r="G215" s="19" t="s">
        <v>1149</v>
      </c>
      <c r="H215" s="18" t="s">
        <v>46</v>
      </c>
      <c r="I215" s="18" t="s">
        <v>1150</v>
      </c>
      <c r="J215" s="18" t="s">
        <v>51</v>
      </c>
      <c r="K215" s="20" t="s">
        <v>34</v>
      </c>
      <c r="L215" s="20">
        <v>1502</v>
      </c>
      <c r="M215" s="20" t="s">
        <v>1151</v>
      </c>
      <c r="N215" s="20" t="s">
        <v>30</v>
      </c>
      <c r="O215" s="20" t="s">
        <v>30</v>
      </c>
      <c r="P215" s="20" t="s">
        <v>30</v>
      </c>
      <c r="Q215" s="21">
        <v>46249</v>
      </c>
      <c r="R215" s="21">
        <v>46252</v>
      </c>
      <c r="S215" s="20" t="s">
        <v>53</v>
      </c>
      <c r="T215" s="18" t="s">
        <v>31</v>
      </c>
      <c r="U215" s="18" t="s">
        <v>30</v>
      </c>
    </row>
    <row r="216" spans="1:21" ht="33.6" customHeight="1" thickTop="1" thickBot="1">
      <c r="A216" s="18" t="str">
        <f t="shared" si="3"/>
        <v>agosto</v>
      </c>
      <c r="B216" s="18" t="s">
        <v>1120</v>
      </c>
      <c r="C216" s="7" t="s">
        <v>9</v>
      </c>
      <c r="D216" s="7" t="s">
        <v>10</v>
      </c>
      <c r="E216" s="18" t="s">
        <v>1152</v>
      </c>
      <c r="F216" s="18" t="s">
        <v>1153</v>
      </c>
      <c r="G216" s="19" t="s">
        <v>1154</v>
      </c>
      <c r="H216" s="18" t="s">
        <v>32</v>
      </c>
      <c r="I216" s="18" t="s">
        <v>1155</v>
      </c>
      <c r="J216" s="18" t="s">
        <v>38</v>
      </c>
      <c r="K216" s="20" t="s">
        <v>34</v>
      </c>
      <c r="L216" s="20">
        <v>1502</v>
      </c>
      <c r="M216" s="20" t="s">
        <v>1156</v>
      </c>
      <c r="N216" s="20" t="s">
        <v>30</v>
      </c>
      <c r="O216" s="20" t="s">
        <v>30</v>
      </c>
      <c r="P216" s="20" t="s">
        <v>30</v>
      </c>
      <c r="Q216" s="21">
        <v>46249</v>
      </c>
      <c r="R216" s="21">
        <v>46252</v>
      </c>
      <c r="S216" s="20" t="s">
        <v>41</v>
      </c>
      <c r="T216" s="18" t="s">
        <v>42</v>
      </c>
      <c r="U216" s="18" t="s">
        <v>30</v>
      </c>
    </row>
    <row r="217" spans="1:21" ht="33.6" customHeight="1" thickTop="1" thickBot="1">
      <c r="A217" s="18" t="str">
        <f t="shared" si="3"/>
        <v>agosto</v>
      </c>
      <c r="B217" s="18" t="s">
        <v>1121</v>
      </c>
      <c r="C217" s="7" t="s">
        <v>7</v>
      </c>
      <c r="D217" s="7" t="s">
        <v>8</v>
      </c>
      <c r="E217" s="18" t="s">
        <v>1157</v>
      </c>
      <c r="F217" s="18" t="s">
        <v>1158</v>
      </c>
      <c r="G217" s="19" t="s">
        <v>1159</v>
      </c>
      <c r="H217" s="18" t="s">
        <v>46</v>
      </c>
      <c r="I217" s="18" t="s">
        <v>1160</v>
      </c>
      <c r="J217" s="18" t="s">
        <v>51</v>
      </c>
      <c r="K217" s="20" t="s">
        <v>34</v>
      </c>
      <c r="L217" s="20">
        <v>1502</v>
      </c>
      <c r="M217" s="20" t="s">
        <v>1161</v>
      </c>
      <c r="N217" s="20" t="s">
        <v>30</v>
      </c>
      <c r="O217" s="20" t="s">
        <v>30</v>
      </c>
      <c r="P217" s="20" t="s">
        <v>30</v>
      </c>
      <c r="Q217" s="21">
        <v>46249</v>
      </c>
      <c r="R217" s="21">
        <v>46252</v>
      </c>
      <c r="S217" s="20" t="s">
        <v>49</v>
      </c>
      <c r="T217" s="18" t="s">
        <v>31</v>
      </c>
      <c r="U217" s="18" t="s">
        <v>30</v>
      </c>
    </row>
    <row r="218" spans="1:21" ht="33.6" customHeight="1" thickTop="1" thickBot="1">
      <c r="A218" s="18" t="str">
        <f t="shared" si="3"/>
        <v>agosto</v>
      </c>
      <c r="B218" s="18" t="s">
        <v>1122</v>
      </c>
      <c r="C218" s="7" t="s">
        <v>7</v>
      </c>
      <c r="D218" s="7" t="s">
        <v>8</v>
      </c>
      <c r="E218" s="18" t="s">
        <v>1162</v>
      </c>
      <c r="F218" s="18" t="s">
        <v>1163</v>
      </c>
      <c r="G218" s="19" t="s">
        <v>1164</v>
      </c>
      <c r="H218" s="18" t="s">
        <v>46</v>
      </c>
      <c r="I218" s="18" t="s">
        <v>1165</v>
      </c>
      <c r="J218" s="18" t="s">
        <v>51</v>
      </c>
      <c r="K218" s="20" t="s">
        <v>34</v>
      </c>
      <c r="L218" s="20">
        <v>1502</v>
      </c>
      <c r="M218" s="20" t="s">
        <v>1166</v>
      </c>
      <c r="N218" s="20" t="s">
        <v>30</v>
      </c>
      <c r="O218" s="20" t="s">
        <v>30</v>
      </c>
      <c r="P218" s="20" t="s">
        <v>30</v>
      </c>
      <c r="Q218" s="21">
        <v>46249</v>
      </c>
      <c r="R218" s="21">
        <v>46252</v>
      </c>
      <c r="S218" s="20" t="s">
        <v>49</v>
      </c>
      <c r="T218" s="18" t="s">
        <v>31</v>
      </c>
      <c r="U218" s="18" t="s">
        <v>30</v>
      </c>
    </row>
    <row r="219" spans="1:21" ht="33.6" customHeight="1" thickTop="1" thickBot="1">
      <c r="A219" s="18" t="str">
        <f t="shared" si="3"/>
        <v>agosto</v>
      </c>
      <c r="B219" s="18" t="s">
        <v>1123</v>
      </c>
      <c r="C219" s="7" t="s">
        <v>9</v>
      </c>
      <c r="D219" s="7" t="s">
        <v>10</v>
      </c>
      <c r="E219" s="18" t="s">
        <v>1167</v>
      </c>
      <c r="F219" s="18" t="s">
        <v>1168</v>
      </c>
      <c r="G219" s="19" t="s">
        <v>1169</v>
      </c>
      <c r="H219" s="18" t="s">
        <v>40</v>
      </c>
      <c r="I219" s="18" t="s">
        <v>44</v>
      </c>
      <c r="J219" s="18" t="s">
        <v>38</v>
      </c>
      <c r="K219" s="20" t="s">
        <v>39</v>
      </c>
      <c r="L219" s="20">
        <v>1502</v>
      </c>
      <c r="M219" s="20" t="s">
        <v>1170</v>
      </c>
      <c r="N219" s="20" t="s">
        <v>30</v>
      </c>
      <c r="O219" s="20" t="s">
        <v>30</v>
      </c>
      <c r="P219" s="20" t="s">
        <v>30</v>
      </c>
      <c r="Q219" s="21">
        <v>46249</v>
      </c>
      <c r="R219" s="21">
        <v>46252</v>
      </c>
      <c r="S219" s="20" t="s">
        <v>41</v>
      </c>
      <c r="T219" s="18" t="s">
        <v>42</v>
      </c>
      <c r="U219" s="18" t="s">
        <v>30</v>
      </c>
    </row>
    <row r="220" spans="1:21" ht="33.6" customHeight="1" thickTop="1" thickBot="1">
      <c r="A220" s="18" t="str">
        <f t="shared" si="3"/>
        <v>agosto</v>
      </c>
      <c r="B220" s="18" t="s">
        <v>1047</v>
      </c>
      <c r="C220" s="7" t="s">
        <v>7</v>
      </c>
      <c r="D220" s="7" t="s">
        <v>8</v>
      </c>
      <c r="E220" s="18" t="s">
        <v>1080</v>
      </c>
      <c r="F220" s="18" t="s">
        <v>1081</v>
      </c>
      <c r="G220" s="19" t="s">
        <v>1082</v>
      </c>
      <c r="H220" s="18" t="s">
        <v>46</v>
      </c>
      <c r="I220" s="18" t="s">
        <v>1083</v>
      </c>
      <c r="J220" s="18" t="s">
        <v>62</v>
      </c>
      <c r="K220" s="20" t="s">
        <v>43</v>
      </c>
      <c r="L220" s="20">
        <v>1502</v>
      </c>
      <c r="M220" s="20" t="s">
        <v>1171</v>
      </c>
      <c r="N220" s="20">
        <v>110</v>
      </c>
      <c r="O220" s="20" t="s">
        <v>30</v>
      </c>
      <c r="P220" s="20" t="s">
        <v>30</v>
      </c>
      <c r="Q220" s="21">
        <v>46248</v>
      </c>
      <c r="R220" s="21">
        <v>46252</v>
      </c>
      <c r="S220" s="20" t="s">
        <v>35</v>
      </c>
      <c r="T220" s="18" t="s">
        <v>31</v>
      </c>
      <c r="U220" s="20" t="s">
        <v>1113</v>
      </c>
    </row>
    <row r="221" spans="1:21" ht="33.6" customHeight="1" thickTop="1" thickBot="1">
      <c r="A221" s="18" t="str">
        <f t="shared" si="3"/>
        <v>agosto</v>
      </c>
      <c r="B221" s="18" t="s">
        <v>1124</v>
      </c>
      <c r="C221" s="7" t="s">
        <v>7</v>
      </c>
      <c r="D221" s="7" t="s">
        <v>8</v>
      </c>
      <c r="E221" s="18" t="s">
        <v>1172</v>
      </c>
      <c r="F221" s="18" t="s">
        <v>1173</v>
      </c>
      <c r="G221" s="19" t="s">
        <v>1174</v>
      </c>
      <c r="H221" s="18" t="s">
        <v>32</v>
      </c>
      <c r="I221" s="18" t="s">
        <v>1175</v>
      </c>
      <c r="J221" s="18" t="s">
        <v>45</v>
      </c>
      <c r="K221" s="20" t="s">
        <v>34</v>
      </c>
      <c r="L221" s="20">
        <v>1502</v>
      </c>
      <c r="M221" s="20" t="s">
        <v>1176</v>
      </c>
      <c r="N221" s="20" t="s">
        <v>30</v>
      </c>
      <c r="O221" s="20" t="s">
        <v>30</v>
      </c>
      <c r="P221" s="20" t="s">
        <v>30</v>
      </c>
      <c r="Q221" s="21">
        <v>46249</v>
      </c>
      <c r="R221" s="21">
        <v>46252</v>
      </c>
      <c r="S221" s="20" t="s">
        <v>52</v>
      </c>
      <c r="T221" s="18" t="s">
        <v>31</v>
      </c>
      <c r="U221" s="18" t="s">
        <v>30</v>
      </c>
    </row>
    <row r="222" spans="1:21" ht="33.6" customHeight="1" thickTop="1" thickBot="1">
      <c r="A222" s="18" t="str">
        <f t="shared" si="3"/>
        <v>agosto</v>
      </c>
      <c r="B222" s="18" t="s">
        <v>1125</v>
      </c>
      <c r="C222" s="7" t="s">
        <v>9</v>
      </c>
      <c r="D222" s="7" t="s">
        <v>10</v>
      </c>
      <c r="E222" s="18" t="s">
        <v>1177</v>
      </c>
      <c r="F222" s="18" t="s">
        <v>1178</v>
      </c>
      <c r="G222" s="19" t="s">
        <v>1179</v>
      </c>
      <c r="H222" s="18" t="s">
        <v>40</v>
      </c>
      <c r="I222" s="18" t="s">
        <v>1180</v>
      </c>
      <c r="J222" s="18" t="s">
        <v>38</v>
      </c>
      <c r="K222" s="20" t="s">
        <v>43</v>
      </c>
      <c r="L222" s="20">
        <v>1502</v>
      </c>
      <c r="M222" s="20" t="s">
        <v>1181</v>
      </c>
      <c r="N222" s="20">
        <v>60</v>
      </c>
      <c r="O222" s="20" t="s">
        <v>30</v>
      </c>
      <c r="P222" s="20" t="s">
        <v>30</v>
      </c>
      <c r="Q222" s="21">
        <v>46252</v>
      </c>
      <c r="R222" s="21">
        <v>46252</v>
      </c>
      <c r="S222" s="20" t="s">
        <v>41</v>
      </c>
      <c r="T222" s="18" t="s">
        <v>42</v>
      </c>
      <c r="U222" s="20" t="s">
        <v>1113</v>
      </c>
    </row>
    <row r="223" spans="1:21" ht="33.6" customHeight="1" thickTop="1" thickBot="1">
      <c r="A223" s="18" t="str">
        <f t="shared" si="3"/>
        <v>agosto</v>
      </c>
      <c r="B223" s="18" t="s">
        <v>1126</v>
      </c>
      <c r="C223" s="7" t="s">
        <v>7</v>
      </c>
      <c r="D223" s="7" t="s">
        <v>8</v>
      </c>
      <c r="E223" s="18" t="s">
        <v>1182</v>
      </c>
      <c r="F223" s="18" t="s">
        <v>1183</v>
      </c>
      <c r="G223" s="19" t="s">
        <v>1184</v>
      </c>
      <c r="H223" s="18" t="s">
        <v>40</v>
      </c>
      <c r="I223" s="18" t="s">
        <v>1180</v>
      </c>
      <c r="J223" s="18" t="s">
        <v>38</v>
      </c>
      <c r="K223" s="20" t="s">
        <v>43</v>
      </c>
      <c r="L223" s="20">
        <v>1502</v>
      </c>
      <c r="M223" s="20" t="s">
        <v>1185</v>
      </c>
      <c r="N223" s="20">
        <v>40</v>
      </c>
      <c r="O223" s="20" t="s">
        <v>30</v>
      </c>
      <c r="P223" s="20" t="s">
        <v>30</v>
      </c>
      <c r="Q223" s="21">
        <v>46252</v>
      </c>
      <c r="R223" s="21">
        <v>46252</v>
      </c>
      <c r="S223" s="20" t="s">
        <v>35</v>
      </c>
      <c r="T223" s="18" t="s">
        <v>31</v>
      </c>
      <c r="U223" s="20" t="s">
        <v>1113</v>
      </c>
    </row>
    <row r="224" spans="1:21" ht="33.6" customHeight="1" thickTop="1" thickBot="1">
      <c r="A224" s="18" t="str">
        <f t="shared" si="3"/>
        <v>agosto</v>
      </c>
      <c r="B224" s="18" t="s">
        <v>1127</v>
      </c>
      <c r="C224" s="7" t="s">
        <v>7</v>
      </c>
      <c r="D224" s="7" t="s">
        <v>8</v>
      </c>
      <c r="E224" s="18" t="s">
        <v>1186</v>
      </c>
      <c r="F224" s="18" t="s">
        <v>1187</v>
      </c>
      <c r="G224" s="19" t="s">
        <v>1188</v>
      </c>
      <c r="H224" s="18" t="s">
        <v>37</v>
      </c>
      <c r="I224" s="18" t="s">
        <v>1189</v>
      </c>
      <c r="J224" s="18" t="s">
        <v>55</v>
      </c>
      <c r="K224" s="20" t="s">
        <v>34</v>
      </c>
      <c r="L224" s="20">
        <v>1502</v>
      </c>
      <c r="M224" s="20" t="s">
        <v>1190</v>
      </c>
      <c r="N224" s="20" t="s">
        <v>30</v>
      </c>
      <c r="O224" s="20" t="s">
        <v>30</v>
      </c>
      <c r="P224" s="20" t="s">
        <v>30</v>
      </c>
      <c r="Q224" s="21">
        <v>46252</v>
      </c>
      <c r="R224" s="21">
        <v>46252</v>
      </c>
      <c r="S224" s="20" t="s">
        <v>53</v>
      </c>
      <c r="T224" s="18" t="s">
        <v>31</v>
      </c>
      <c r="U224" s="18" t="s">
        <v>30</v>
      </c>
    </row>
    <row r="225" spans="1:21" ht="33.6" customHeight="1" thickTop="1" thickBot="1">
      <c r="A225" s="18" t="str">
        <f t="shared" si="3"/>
        <v>agosto</v>
      </c>
      <c r="B225" s="18" t="s">
        <v>1128</v>
      </c>
      <c r="E225" s="18" t="s">
        <v>1191</v>
      </c>
      <c r="F225" s="18" t="s">
        <v>1192</v>
      </c>
      <c r="G225" s="19" t="s">
        <v>1193</v>
      </c>
      <c r="H225" s="18" t="s">
        <v>46</v>
      </c>
      <c r="I225" s="18" t="s">
        <v>1194</v>
      </c>
      <c r="J225" s="18" t="s">
        <v>51</v>
      </c>
      <c r="K225" s="20" t="s">
        <v>34</v>
      </c>
      <c r="L225" s="20">
        <v>1502</v>
      </c>
      <c r="M225" s="20" t="s">
        <v>1195</v>
      </c>
      <c r="N225" s="20" t="s">
        <v>30</v>
      </c>
      <c r="O225" s="20" t="s">
        <v>30</v>
      </c>
      <c r="P225" s="20" t="s">
        <v>30</v>
      </c>
      <c r="Q225" s="21">
        <v>46252</v>
      </c>
      <c r="R225" s="21">
        <v>46252</v>
      </c>
      <c r="S225" s="20" t="s">
        <v>56</v>
      </c>
      <c r="T225" s="18" t="s">
        <v>30</v>
      </c>
      <c r="U225" s="18" t="s">
        <v>30</v>
      </c>
    </row>
    <row r="226" spans="1:21" ht="33.6" customHeight="1" thickTop="1" thickBot="1">
      <c r="A226" s="18" t="str">
        <f t="shared" si="3"/>
        <v>agosto</v>
      </c>
      <c r="B226" s="18" t="s">
        <v>1118</v>
      </c>
      <c r="C226" s="7" t="s">
        <v>9</v>
      </c>
      <c r="D226" s="7" t="s">
        <v>10</v>
      </c>
      <c r="E226" s="18" t="s">
        <v>1142</v>
      </c>
      <c r="F226" s="18" t="s">
        <v>1143</v>
      </c>
      <c r="G226" s="19" t="s">
        <v>1144</v>
      </c>
      <c r="H226" s="18" t="s">
        <v>40</v>
      </c>
      <c r="I226" s="18" t="s">
        <v>61</v>
      </c>
      <c r="J226" s="18" t="s">
        <v>38</v>
      </c>
      <c r="K226" s="20" t="s">
        <v>43</v>
      </c>
      <c r="L226" s="20">
        <v>1502</v>
      </c>
      <c r="M226" s="20" t="s">
        <v>1210</v>
      </c>
      <c r="N226" s="20">
        <v>40</v>
      </c>
      <c r="O226" s="20" t="s">
        <v>30</v>
      </c>
      <c r="P226" s="20" t="s">
        <v>30</v>
      </c>
      <c r="Q226" s="21">
        <v>46248</v>
      </c>
      <c r="R226" s="21">
        <v>46253</v>
      </c>
      <c r="S226" s="20" t="s">
        <v>41</v>
      </c>
      <c r="T226" s="18" t="s">
        <v>42</v>
      </c>
      <c r="U226" s="20" t="s">
        <v>1113</v>
      </c>
    </row>
    <row r="227" spans="1:21" ht="33.6" customHeight="1" thickTop="1" thickBot="1">
      <c r="A227" s="18" t="str">
        <f t="shared" si="3"/>
        <v>agosto</v>
      </c>
      <c r="B227" s="18" t="s">
        <v>1196</v>
      </c>
      <c r="C227" s="7" t="s">
        <v>7</v>
      </c>
      <c r="D227" s="7" t="s">
        <v>8</v>
      </c>
      <c r="E227" s="18" t="s">
        <v>835</v>
      </c>
      <c r="F227" s="18" t="s">
        <v>836</v>
      </c>
      <c r="G227" s="19" t="s">
        <v>837</v>
      </c>
      <c r="H227" s="18" t="s">
        <v>32</v>
      </c>
      <c r="I227" s="18" t="s">
        <v>1211</v>
      </c>
      <c r="J227" s="18" t="s">
        <v>57</v>
      </c>
      <c r="K227" s="20" t="s">
        <v>34</v>
      </c>
      <c r="L227" s="20">
        <v>1502</v>
      </c>
      <c r="M227" s="20" t="s">
        <v>1212</v>
      </c>
      <c r="N227" s="20" t="s">
        <v>30</v>
      </c>
      <c r="O227" s="20" t="s">
        <v>30</v>
      </c>
      <c r="P227" s="20" t="s">
        <v>30</v>
      </c>
      <c r="Q227" s="21">
        <v>46252</v>
      </c>
      <c r="R227" s="21">
        <v>46253</v>
      </c>
      <c r="S227" s="20" t="s">
        <v>52</v>
      </c>
      <c r="T227" s="18" t="s">
        <v>31</v>
      </c>
      <c r="U227" s="18" t="s">
        <v>30</v>
      </c>
    </row>
    <row r="228" spans="1:21" ht="33.6" customHeight="1" thickTop="1" thickBot="1">
      <c r="A228" s="18" t="str">
        <f t="shared" si="3"/>
        <v>agosto</v>
      </c>
      <c r="B228" s="18" t="s">
        <v>1197</v>
      </c>
      <c r="C228" s="7" t="s">
        <v>7</v>
      </c>
      <c r="D228" s="7" t="s">
        <v>8</v>
      </c>
      <c r="E228" s="18" t="s">
        <v>1213</v>
      </c>
      <c r="F228" s="18" t="s">
        <v>1214</v>
      </c>
      <c r="G228" s="19" t="s">
        <v>1215</v>
      </c>
      <c r="H228" s="18" t="s">
        <v>37</v>
      </c>
      <c r="I228" s="18" t="s">
        <v>1216</v>
      </c>
      <c r="J228" s="18" t="s">
        <v>59</v>
      </c>
      <c r="K228" s="20" t="s">
        <v>43</v>
      </c>
      <c r="L228" s="20">
        <v>1501</v>
      </c>
      <c r="M228" s="20" t="s">
        <v>1217</v>
      </c>
      <c r="N228" s="20">
        <v>50</v>
      </c>
      <c r="O228" s="20" t="s">
        <v>30</v>
      </c>
      <c r="P228" s="20" t="s">
        <v>30</v>
      </c>
      <c r="Q228" s="21">
        <v>46252</v>
      </c>
      <c r="R228" s="21">
        <v>46253</v>
      </c>
      <c r="S228" s="20" t="s">
        <v>52</v>
      </c>
      <c r="T228" s="18" t="s">
        <v>31</v>
      </c>
      <c r="U228" s="20" t="s">
        <v>1113</v>
      </c>
    </row>
    <row r="229" spans="1:21" ht="33.6" customHeight="1" thickTop="1" thickBot="1">
      <c r="A229" s="18" t="str">
        <f t="shared" si="3"/>
        <v>agosto</v>
      </c>
      <c r="B229" s="18" t="s">
        <v>1198</v>
      </c>
      <c r="C229" s="7" t="s">
        <v>7</v>
      </c>
      <c r="D229" s="7" t="s">
        <v>8</v>
      </c>
      <c r="E229" s="18" t="s">
        <v>1218</v>
      </c>
      <c r="F229" s="18" t="s">
        <v>1219</v>
      </c>
      <c r="G229" s="19" t="s">
        <v>1220</v>
      </c>
      <c r="H229" s="18" t="s">
        <v>32</v>
      </c>
      <c r="I229" s="18" t="s">
        <v>1221</v>
      </c>
      <c r="J229" s="18" t="s">
        <v>57</v>
      </c>
      <c r="K229" s="20" t="s">
        <v>43</v>
      </c>
      <c r="L229" s="20">
        <v>1502</v>
      </c>
      <c r="M229" s="20" t="s">
        <v>1222</v>
      </c>
      <c r="N229" s="20" t="s">
        <v>30</v>
      </c>
      <c r="O229" s="20" t="s">
        <v>30</v>
      </c>
      <c r="P229" s="20" t="s">
        <v>30</v>
      </c>
      <c r="Q229" s="21">
        <v>46252</v>
      </c>
      <c r="R229" s="21">
        <v>46253</v>
      </c>
      <c r="S229" s="20" t="s">
        <v>49</v>
      </c>
      <c r="T229" s="18" t="s">
        <v>31</v>
      </c>
      <c r="U229" s="20" t="s">
        <v>1113</v>
      </c>
    </row>
    <row r="230" spans="1:21" ht="33.6" customHeight="1" thickTop="1" thickBot="1">
      <c r="A230" s="18" t="str">
        <f t="shared" si="3"/>
        <v>agosto</v>
      </c>
      <c r="B230" s="18" t="s">
        <v>1199</v>
      </c>
      <c r="C230" s="7" t="s">
        <v>9</v>
      </c>
      <c r="D230" s="7" t="s">
        <v>10</v>
      </c>
      <c r="E230" s="18" t="s">
        <v>1223</v>
      </c>
      <c r="F230" s="18" t="s">
        <v>1224</v>
      </c>
      <c r="G230" s="19" t="s">
        <v>1225</v>
      </c>
      <c r="H230" s="18" t="s">
        <v>40</v>
      </c>
      <c r="I230" s="18" t="s">
        <v>1226</v>
      </c>
      <c r="J230" s="18" t="s">
        <v>38</v>
      </c>
      <c r="K230" s="20" t="s">
        <v>43</v>
      </c>
      <c r="L230" s="20">
        <v>1502</v>
      </c>
      <c r="M230" s="20" t="s">
        <v>66</v>
      </c>
      <c r="N230" s="20" t="s">
        <v>30</v>
      </c>
      <c r="O230" s="20" t="s">
        <v>30</v>
      </c>
      <c r="P230" s="20" t="s">
        <v>30</v>
      </c>
      <c r="Q230" s="21">
        <v>46252</v>
      </c>
      <c r="R230" s="21">
        <v>46253</v>
      </c>
      <c r="S230" s="20" t="s">
        <v>41</v>
      </c>
      <c r="T230" s="18" t="s">
        <v>42</v>
      </c>
      <c r="U230" s="20" t="s">
        <v>1113</v>
      </c>
    </row>
    <row r="231" spans="1:21" ht="33.6" customHeight="1" thickTop="1" thickBot="1">
      <c r="A231" s="18" t="str">
        <f t="shared" si="3"/>
        <v>agosto</v>
      </c>
      <c r="B231" s="18" t="s">
        <v>1200</v>
      </c>
      <c r="C231" s="7" t="s">
        <v>7</v>
      </c>
      <c r="D231" s="7" t="s">
        <v>8</v>
      </c>
      <c r="E231" s="18" t="s">
        <v>1227</v>
      </c>
      <c r="F231" s="18" t="s">
        <v>1228</v>
      </c>
      <c r="G231" s="19" t="s">
        <v>1229</v>
      </c>
      <c r="H231" s="18" t="s">
        <v>64</v>
      </c>
      <c r="I231" s="18" t="s">
        <v>1230</v>
      </c>
      <c r="J231" s="18" t="s">
        <v>55</v>
      </c>
      <c r="K231" s="20" t="s">
        <v>43</v>
      </c>
      <c r="L231" s="20">
        <v>1502</v>
      </c>
      <c r="M231" s="20" t="s">
        <v>1231</v>
      </c>
      <c r="N231" s="20">
        <v>70</v>
      </c>
      <c r="O231" s="20" t="s">
        <v>30</v>
      </c>
      <c r="P231" s="20" t="s">
        <v>30</v>
      </c>
      <c r="Q231" s="21">
        <v>46252</v>
      </c>
      <c r="R231" s="21">
        <v>46253</v>
      </c>
      <c r="S231" s="20" t="s">
        <v>35</v>
      </c>
      <c r="T231" s="18" t="s">
        <v>31</v>
      </c>
      <c r="U231" s="20" t="s">
        <v>1113</v>
      </c>
    </row>
    <row r="232" spans="1:21" ht="33.6" customHeight="1" thickTop="1" thickBot="1">
      <c r="A232" s="18" t="str">
        <f t="shared" si="3"/>
        <v>agosto</v>
      </c>
      <c r="B232" s="18" t="s">
        <v>1115</v>
      </c>
      <c r="C232" s="7" t="s">
        <v>7</v>
      </c>
      <c r="D232" s="7" t="s">
        <v>8</v>
      </c>
      <c r="E232" s="18" t="s">
        <v>1129</v>
      </c>
      <c r="F232" s="18" t="s">
        <v>1130</v>
      </c>
      <c r="G232" s="19" t="s">
        <v>1131</v>
      </c>
      <c r="H232" s="18" t="s">
        <v>46</v>
      </c>
      <c r="I232" s="18" t="s">
        <v>133</v>
      </c>
      <c r="J232" s="18" t="s">
        <v>62</v>
      </c>
      <c r="K232" s="20" t="s">
        <v>43</v>
      </c>
      <c r="L232" s="20">
        <v>1502</v>
      </c>
      <c r="M232" s="20" t="s">
        <v>1232</v>
      </c>
      <c r="N232" s="20">
        <v>15</v>
      </c>
      <c r="O232" s="20" t="s">
        <v>30</v>
      </c>
      <c r="P232" s="20" t="s">
        <v>30</v>
      </c>
      <c r="Q232" s="21">
        <v>46248</v>
      </c>
      <c r="R232" s="21">
        <v>46253</v>
      </c>
      <c r="S232" s="20" t="s">
        <v>49</v>
      </c>
      <c r="T232" s="18" t="s">
        <v>31</v>
      </c>
      <c r="U232" s="20" t="s">
        <v>1113</v>
      </c>
    </row>
    <row r="233" spans="1:21" ht="33.6" customHeight="1" thickTop="1" thickBot="1">
      <c r="A233" s="18" t="str">
        <f t="shared" si="3"/>
        <v>agosto</v>
      </c>
      <c r="B233" s="18" t="s">
        <v>1201</v>
      </c>
      <c r="C233" s="7" t="s">
        <v>9</v>
      </c>
      <c r="D233" s="7" t="s">
        <v>10</v>
      </c>
      <c r="E233" s="18" t="s">
        <v>1233</v>
      </c>
      <c r="F233" s="18" t="s">
        <v>1234</v>
      </c>
      <c r="G233" s="19" t="s">
        <v>1235</v>
      </c>
      <c r="H233" s="18" t="s">
        <v>40</v>
      </c>
      <c r="I233" s="18" t="s">
        <v>1236</v>
      </c>
      <c r="J233" s="18" t="s">
        <v>45</v>
      </c>
      <c r="K233" s="20" t="s">
        <v>43</v>
      </c>
      <c r="L233" s="20">
        <v>1502</v>
      </c>
      <c r="M233" s="20" t="s">
        <v>1237</v>
      </c>
      <c r="N233" s="20">
        <v>45</v>
      </c>
      <c r="O233" s="20" t="s">
        <v>30</v>
      </c>
      <c r="P233" s="20" t="s">
        <v>30</v>
      </c>
      <c r="Q233" s="21">
        <v>46252</v>
      </c>
      <c r="R233" s="21">
        <v>46253</v>
      </c>
      <c r="S233" s="20" t="s">
        <v>41</v>
      </c>
      <c r="T233" s="18" t="s">
        <v>42</v>
      </c>
      <c r="U233" s="20" t="s">
        <v>1113</v>
      </c>
    </row>
    <row r="234" spans="1:21" ht="33.6" customHeight="1" thickTop="1" thickBot="1">
      <c r="A234" s="18" t="str">
        <f t="shared" si="3"/>
        <v>agosto</v>
      </c>
      <c r="B234" s="18" t="s">
        <v>1202</v>
      </c>
      <c r="C234" s="7" t="s">
        <v>7</v>
      </c>
      <c r="D234" s="7" t="s">
        <v>8</v>
      </c>
      <c r="E234" s="18" t="s">
        <v>1238</v>
      </c>
      <c r="F234" s="18" t="s">
        <v>1239</v>
      </c>
      <c r="G234" s="19" t="s">
        <v>1240</v>
      </c>
      <c r="H234" s="18" t="s">
        <v>64</v>
      </c>
      <c r="I234" s="18" t="s">
        <v>1241</v>
      </c>
      <c r="J234" s="18" t="s">
        <v>55</v>
      </c>
      <c r="K234" s="20" t="s">
        <v>39</v>
      </c>
      <c r="L234" s="20">
        <v>1502</v>
      </c>
      <c r="M234" s="20" t="s">
        <v>1242</v>
      </c>
      <c r="N234" s="20" t="s">
        <v>30</v>
      </c>
      <c r="O234" s="20" t="s">
        <v>30</v>
      </c>
      <c r="P234" s="20" t="s">
        <v>30</v>
      </c>
      <c r="Q234" s="21">
        <v>46252</v>
      </c>
      <c r="R234" s="21">
        <v>46253</v>
      </c>
      <c r="S234" s="20" t="s">
        <v>53</v>
      </c>
      <c r="T234" s="18" t="s">
        <v>31</v>
      </c>
      <c r="U234" s="18" t="s">
        <v>30</v>
      </c>
    </row>
    <row r="235" spans="1:21" ht="33.6" customHeight="1" thickTop="1" thickBot="1">
      <c r="A235" s="18" t="str">
        <f t="shared" si="3"/>
        <v>agosto</v>
      </c>
      <c r="B235" s="18" t="s">
        <v>1203</v>
      </c>
      <c r="C235" s="7" t="s">
        <v>7</v>
      </c>
      <c r="D235" s="7" t="s">
        <v>8</v>
      </c>
      <c r="E235" s="18" t="s">
        <v>1243</v>
      </c>
      <c r="F235" s="18" t="s">
        <v>1244</v>
      </c>
      <c r="G235" s="19" t="s">
        <v>1245</v>
      </c>
      <c r="H235" s="18" t="s">
        <v>64</v>
      </c>
      <c r="I235" s="18" t="s">
        <v>1246</v>
      </c>
      <c r="J235" s="18" t="s">
        <v>55</v>
      </c>
      <c r="K235" s="20" t="s">
        <v>43</v>
      </c>
      <c r="L235" s="20">
        <v>1502</v>
      </c>
      <c r="M235" s="20" t="s">
        <v>1247</v>
      </c>
      <c r="N235" s="20">
        <v>105</v>
      </c>
      <c r="O235" s="20" t="s">
        <v>30</v>
      </c>
      <c r="P235" s="20" t="s">
        <v>30</v>
      </c>
      <c r="Q235" s="21">
        <v>46252</v>
      </c>
      <c r="R235" s="21">
        <v>46253</v>
      </c>
      <c r="S235" s="20" t="s">
        <v>53</v>
      </c>
      <c r="T235" s="18" t="s">
        <v>31</v>
      </c>
      <c r="U235" s="20" t="s">
        <v>1113</v>
      </c>
    </row>
    <row r="236" spans="1:21" ht="33.6" customHeight="1" thickTop="1" thickBot="1">
      <c r="A236" s="18" t="str">
        <f t="shared" si="3"/>
        <v>agosto</v>
      </c>
      <c r="B236" s="18" t="s">
        <v>1204</v>
      </c>
      <c r="C236" s="7" t="s">
        <v>7</v>
      </c>
      <c r="D236" s="7" t="s">
        <v>8</v>
      </c>
      <c r="E236" s="18" t="s">
        <v>1248</v>
      </c>
      <c r="F236" s="18" t="s">
        <v>1249</v>
      </c>
      <c r="G236" s="19" t="s">
        <v>1250</v>
      </c>
      <c r="H236" s="18" t="s">
        <v>46</v>
      </c>
      <c r="I236" s="18" t="s">
        <v>1251</v>
      </c>
      <c r="J236" s="18" t="s">
        <v>62</v>
      </c>
      <c r="K236" s="20" t="s">
        <v>63</v>
      </c>
      <c r="L236" s="20">
        <v>1502</v>
      </c>
      <c r="M236" s="20" t="s">
        <v>1252</v>
      </c>
      <c r="N236" s="20" t="s">
        <v>30</v>
      </c>
      <c r="O236" s="20" t="s">
        <v>30</v>
      </c>
      <c r="P236" s="20" t="s">
        <v>30</v>
      </c>
      <c r="Q236" s="21">
        <v>46252</v>
      </c>
      <c r="R236" s="21">
        <v>46253</v>
      </c>
      <c r="S236" s="20" t="s">
        <v>49</v>
      </c>
      <c r="T236" s="18" t="s">
        <v>31</v>
      </c>
      <c r="U236" s="18" t="s">
        <v>30</v>
      </c>
    </row>
    <row r="237" spans="1:21" ht="33.6" customHeight="1" thickTop="1" thickBot="1">
      <c r="A237" s="18" t="str">
        <f t="shared" si="3"/>
        <v>agosto</v>
      </c>
      <c r="B237" s="18" t="s">
        <v>1205</v>
      </c>
      <c r="C237" s="7" t="s">
        <v>7</v>
      </c>
      <c r="D237" s="7" t="s">
        <v>8</v>
      </c>
      <c r="E237" s="18" t="s">
        <v>1253</v>
      </c>
      <c r="F237" s="18" t="s">
        <v>1254</v>
      </c>
      <c r="G237" s="19" t="s">
        <v>1255</v>
      </c>
      <c r="H237" s="18" t="s">
        <v>37</v>
      </c>
      <c r="I237" s="18" t="s">
        <v>1256</v>
      </c>
      <c r="J237" s="18" t="s">
        <v>60</v>
      </c>
      <c r="K237" s="20" t="s">
        <v>39</v>
      </c>
      <c r="L237" s="20">
        <v>1501</v>
      </c>
      <c r="M237" s="20" t="s">
        <v>1257</v>
      </c>
      <c r="N237" s="20" t="s">
        <v>30</v>
      </c>
      <c r="O237" s="20" t="s">
        <v>30</v>
      </c>
      <c r="P237" s="20" t="s">
        <v>30</v>
      </c>
      <c r="Q237" s="21">
        <v>46252</v>
      </c>
      <c r="R237" s="21">
        <v>46253</v>
      </c>
      <c r="S237" s="20" t="s">
        <v>35</v>
      </c>
      <c r="T237" s="18" t="s">
        <v>31</v>
      </c>
      <c r="U237" s="18" t="s">
        <v>30</v>
      </c>
    </row>
    <row r="238" spans="1:21" ht="33.6" customHeight="1" thickTop="1" thickBot="1">
      <c r="A238" s="18" t="str">
        <f t="shared" si="3"/>
        <v>agosto</v>
      </c>
      <c r="B238" s="18" t="s">
        <v>1206</v>
      </c>
      <c r="C238" s="7" t="s">
        <v>7</v>
      </c>
      <c r="D238" s="7" t="s">
        <v>8</v>
      </c>
      <c r="E238" s="18" t="s">
        <v>1258</v>
      </c>
      <c r="F238" s="18" t="s">
        <v>1259</v>
      </c>
      <c r="G238" s="19" t="s">
        <v>1260</v>
      </c>
      <c r="H238" s="18" t="s">
        <v>32</v>
      </c>
      <c r="I238" s="18" t="s">
        <v>1261</v>
      </c>
      <c r="J238" s="18" t="s">
        <v>33</v>
      </c>
      <c r="K238" s="20" t="s">
        <v>39</v>
      </c>
      <c r="L238" s="20">
        <v>1502</v>
      </c>
      <c r="M238" s="20" t="s">
        <v>1262</v>
      </c>
      <c r="N238" s="20" t="s">
        <v>30</v>
      </c>
      <c r="O238" s="20" t="s">
        <v>30</v>
      </c>
      <c r="P238" s="20" t="s">
        <v>30</v>
      </c>
      <c r="Q238" s="21">
        <v>46252</v>
      </c>
      <c r="R238" s="21">
        <v>46253</v>
      </c>
      <c r="S238" s="20" t="s">
        <v>52</v>
      </c>
      <c r="T238" s="18" t="s">
        <v>31</v>
      </c>
      <c r="U238" s="18" t="s">
        <v>30</v>
      </c>
    </row>
    <row r="239" spans="1:21" ht="33.6" customHeight="1" thickTop="1" thickBot="1">
      <c r="A239" s="18" t="str">
        <f t="shared" si="3"/>
        <v>agosto</v>
      </c>
      <c r="B239" s="18" t="s">
        <v>1207</v>
      </c>
      <c r="C239" s="7" t="s">
        <v>7</v>
      </c>
      <c r="D239" s="7" t="s">
        <v>8</v>
      </c>
      <c r="E239" s="18" t="s">
        <v>1263</v>
      </c>
      <c r="F239" s="18" t="s">
        <v>1264</v>
      </c>
      <c r="G239" s="19" t="s">
        <v>1265</v>
      </c>
      <c r="H239" s="18" t="s">
        <v>46</v>
      </c>
      <c r="I239" s="18" t="s">
        <v>1266</v>
      </c>
      <c r="J239" s="18" t="s">
        <v>51</v>
      </c>
      <c r="K239" s="20" t="s">
        <v>34</v>
      </c>
      <c r="L239" s="20">
        <v>1502</v>
      </c>
      <c r="M239" s="20" t="s">
        <v>1267</v>
      </c>
      <c r="N239" s="20" t="s">
        <v>30</v>
      </c>
      <c r="O239" s="20" t="s">
        <v>30</v>
      </c>
      <c r="P239" s="20" t="s">
        <v>30</v>
      </c>
      <c r="Q239" s="21">
        <v>46252</v>
      </c>
      <c r="R239" s="21">
        <v>46253</v>
      </c>
      <c r="S239" s="20" t="s">
        <v>35</v>
      </c>
      <c r="T239" s="18" t="s">
        <v>31</v>
      </c>
      <c r="U239" s="18" t="s">
        <v>30</v>
      </c>
    </row>
    <row r="240" spans="1:21" ht="33.6" customHeight="1" thickTop="1" thickBot="1">
      <c r="A240" s="18" t="str">
        <f t="shared" si="3"/>
        <v>agosto</v>
      </c>
      <c r="B240" s="18" t="s">
        <v>1208</v>
      </c>
      <c r="E240" s="18" t="s">
        <v>1268</v>
      </c>
      <c r="F240" s="18" t="s">
        <v>1269</v>
      </c>
      <c r="G240" s="19" t="s">
        <v>1270</v>
      </c>
      <c r="H240" s="18" t="s">
        <v>37</v>
      </c>
      <c r="I240" s="18" t="s">
        <v>1271</v>
      </c>
      <c r="J240" s="18" t="s">
        <v>55</v>
      </c>
      <c r="K240" s="20" t="s">
        <v>34</v>
      </c>
      <c r="L240" s="20">
        <v>1502</v>
      </c>
      <c r="M240" s="20" t="s">
        <v>1272</v>
      </c>
      <c r="N240" s="20" t="s">
        <v>30</v>
      </c>
      <c r="O240" s="20" t="s">
        <v>30</v>
      </c>
      <c r="P240" s="20" t="s">
        <v>30</v>
      </c>
      <c r="Q240" s="21">
        <v>46253</v>
      </c>
      <c r="R240" s="21">
        <v>46253</v>
      </c>
      <c r="S240" s="20" t="s">
        <v>56</v>
      </c>
      <c r="T240" s="18" t="s">
        <v>30</v>
      </c>
      <c r="U240" s="18" t="s">
        <v>30</v>
      </c>
    </row>
    <row r="241" spans="1:21" ht="33.6" customHeight="1" thickTop="1" thickBot="1">
      <c r="A241" s="18" t="str">
        <f t="shared" si="3"/>
        <v>agosto</v>
      </c>
      <c r="B241" s="18" t="s">
        <v>1209</v>
      </c>
      <c r="E241" s="18" t="s">
        <v>1273</v>
      </c>
      <c r="F241" s="18" t="s">
        <v>1274</v>
      </c>
      <c r="G241" s="19" t="s">
        <v>1275</v>
      </c>
      <c r="H241" s="18" t="s">
        <v>64</v>
      </c>
      <c r="I241" s="18" t="s">
        <v>195</v>
      </c>
      <c r="J241" s="18" t="s">
        <v>55</v>
      </c>
      <c r="K241" s="20" t="s">
        <v>34</v>
      </c>
      <c r="L241" s="20">
        <v>1502</v>
      </c>
      <c r="M241" s="20" t="s">
        <v>1276</v>
      </c>
      <c r="N241" s="20" t="s">
        <v>30</v>
      </c>
      <c r="O241" s="20" t="s">
        <v>30</v>
      </c>
      <c r="P241" s="20" t="s">
        <v>30</v>
      </c>
      <c r="Q241" s="21">
        <v>46253</v>
      </c>
      <c r="R241" s="21">
        <v>46253</v>
      </c>
      <c r="S241" s="20" t="s">
        <v>56</v>
      </c>
      <c r="T241" s="18" t="s">
        <v>30</v>
      </c>
      <c r="U241" s="18" t="s">
        <v>30</v>
      </c>
    </row>
    <row r="242" spans="1:21" ht="33.6" customHeight="1" thickTop="1" thickBot="1">
      <c r="A242" s="18" t="str">
        <f t="shared" si="3"/>
        <v>agosto</v>
      </c>
      <c r="B242" s="18" t="s">
        <v>1277</v>
      </c>
      <c r="C242" s="7" t="s">
        <v>7</v>
      </c>
      <c r="D242" s="7" t="s">
        <v>8</v>
      </c>
      <c r="E242" s="18" t="s">
        <v>1297</v>
      </c>
      <c r="F242" s="18" t="s">
        <v>1298</v>
      </c>
      <c r="G242" s="19" t="s">
        <v>1299</v>
      </c>
      <c r="H242" s="18" t="s">
        <v>37</v>
      </c>
      <c r="I242" s="18" t="s">
        <v>1300</v>
      </c>
      <c r="J242" s="18" t="s">
        <v>59</v>
      </c>
      <c r="K242" s="20" t="s">
        <v>34</v>
      </c>
      <c r="L242" s="20">
        <v>1501</v>
      </c>
      <c r="M242" s="20" t="s">
        <v>1301</v>
      </c>
      <c r="N242" s="20" t="s">
        <v>30</v>
      </c>
      <c r="O242" s="20" t="s">
        <v>30</v>
      </c>
      <c r="P242" s="20" t="s">
        <v>30</v>
      </c>
      <c r="Q242" s="21">
        <v>46252</v>
      </c>
      <c r="R242" s="21">
        <v>46254</v>
      </c>
      <c r="S242" s="20" t="s">
        <v>35</v>
      </c>
      <c r="T242" s="18" t="s">
        <v>31</v>
      </c>
      <c r="U242" s="18" t="s">
        <v>30</v>
      </c>
    </row>
    <row r="243" spans="1:21" ht="33.6" customHeight="1" thickTop="1" thickBot="1">
      <c r="A243" s="18" t="str">
        <f t="shared" si="3"/>
        <v>agosto</v>
      </c>
      <c r="B243" s="18" t="s">
        <v>1278</v>
      </c>
      <c r="C243" s="7" t="s">
        <v>7</v>
      </c>
      <c r="D243" s="7" t="s">
        <v>8</v>
      </c>
      <c r="E243" s="18" t="s">
        <v>1302</v>
      </c>
      <c r="F243" s="18" t="s">
        <v>1303</v>
      </c>
      <c r="G243" s="19" t="s">
        <v>1304</v>
      </c>
      <c r="H243" s="18" t="s">
        <v>40</v>
      </c>
      <c r="I243" s="18" t="s">
        <v>1305</v>
      </c>
      <c r="J243" s="18" t="s">
        <v>38</v>
      </c>
      <c r="K243" s="20" t="s">
        <v>43</v>
      </c>
      <c r="L243" s="20">
        <v>1502</v>
      </c>
      <c r="M243" s="20" t="s">
        <v>1306</v>
      </c>
      <c r="N243" s="20">
        <v>30</v>
      </c>
      <c r="O243" s="20" t="s">
        <v>30</v>
      </c>
      <c r="P243" s="20" t="s">
        <v>30</v>
      </c>
      <c r="Q243" s="21">
        <v>46252</v>
      </c>
      <c r="R243" s="21">
        <v>46254</v>
      </c>
      <c r="S243" s="20" t="s">
        <v>52</v>
      </c>
      <c r="T243" s="18" t="s">
        <v>31</v>
      </c>
      <c r="U243" s="18" t="s">
        <v>1113</v>
      </c>
    </row>
    <row r="244" spans="1:21" ht="33.6" customHeight="1" thickTop="1" thickBot="1">
      <c r="A244" s="18" t="str">
        <f t="shared" si="3"/>
        <v>agosto</v>
      </c>
      <c r="B244" s="18" t="s">
        <v>1279</v>
      </c>
      <c r="C244" s="7" t="s">
        <v>7</v>
      </c>
      <c r="D244" s="7" t="s">
        <v>8</v>
      </c>
      <c r="E244" s="18" t="s">
        <v>1307</v>
      </c>
      <c r="F244" s="18" t="s">
        <v>1308</v>
      </c>
      <c r="G244" s="19" t="s">
        <v>1309</v>
      </c>
      <c r="H244" s="18" t="s">
        <v>40</v>
      </c>
      <c r="I244" s="18" t="s">
        <v>65</v>
      </c>
      <c r="J244" s="18" t="s">
        <v>38</v>
      </c>
      <c r="K244" s="20" t="s">
        <v>43</v>
      </c>
      <c r="L244" s="20">
        <v>1502</v>
      </c>
      <c r="M244" s="20" t="s">
        <v>66</v>
      </c>
      <c r="N244" s="20" t="s">
        <v>30</v>
      </c>
      <c r="O244" s="20" t="s">
        <v>30</v>
      </c>
      <c r="P244" s="20" t="s">
        <v>30</v>
      </c>
      <c r="Q244" s="21">
        <v>46252</v>
      </c>
      <c r="R244" s="21">
        <v>46254</v>
      </c>
      <c r="S244" s="20" t="s">
        <v>52</v>
      </c>
      <c r="T244" s="18" t="s">
        <v>31</v>
      </c>
      <c r="U244" s="18" t="s">
        <v>1113</v>
      </c>
    </row>
    <row r="245" spans="1:21" ht="33.6" customHeight="1" thickTop="1" thickBot="1">
      <c r="A245" s="18" t="str">
        <f t="shared" si="3"/>
        <v>agosto</v>
      </c>
      <c r="B245" s="18" t="s">
        <v>1280</v>
      </c>
      <c r="C245" s="7" t="s">
        <v>7</v>
      </c>
      <c r="D245" s="7" t="s">
        <v>8</v>
      </c>
      <c r="E245" s="18" t="s">
        <v>1310</v>
      </c>
      <c r="F245" s="18" t="s">
        <v>1311</v>
      </c>
      <c r="G245" s="19" t="s">
        <v>1312</v>
      </c>
      <c r="H245" s="18" t="s">
        <v>32</v>
      </c>
      <c r="I245" s="18" t="s">
        <v>1313</v>
      </c>
      <c r="J245" s="18" t="s">
        <v>33</v>
      </c>
      <c r="K245" s="20" t="s">
        <v>1314</v>
      </c>
      <c r="L245" s="20">
        <v>1502</v>
      </c>
      <c r="M245" s="20" t="s">
        <v>1315</v>
      </c>
      <c r="N245" s="20" t="s">
        <v>30</v>
      </c>
      <c r="O245" s="20" t="s">
        <v>30</v>
      </c>
      <c r="P245" s="20" t="s">
        <v>30</v>
      </c>
      <c r="Q245" s="21">
        <v>46252</v>
      </c>
      <c r="R245" s="21">
        <v>46254</v>
      </c>
      <c r="S245" s="20" t="s">
        <v>49</v>
      </c>
      <c r="T245" s="18" t="s">
        <v>31</v>
      </c>
      <c r="U245" s="18" t="s">
        <v>30</v>
      </c>
    </row>
    <row r="246" spans="1:21" ht="33.6" customHeight="1" thickTop="1" thickBot="1">
      <c r="A246" s="18" t="str">
        <f t="shared" si="3"/>
        <v>agosto</v>
      </c>
      <c r="B246" s="18" t="s">
        <v>1281</v>
      </c>
      <c r="C246" s="7" t="s">
        <v>9</v>
      </c>
      <c r="D246" s="7" t="s">
        <v>10</v>
      </c>
      <c r="E246" s="18" t="s">
        <v>1316</v>
      </c>
      <c r="F246" s="18" t="s">
        <v>1317</v>
      </c>
      <c r="G246" s="19" t="s">
        <v>1318</v>
      </c>
      <c r="H246" s="18" t="s">
        <v>40</v>
      </c>
      <c r="I246" s="18" t="s">
        <v>1319</v>
      </c>
      <c r="J246" s="18" t="s">
        <v>38</v>
      </c>
      <c r="K246" s="20" t="s">
        <v>43</v>
      </c>
      <c r="L246" s="20">
        <v>1502</v>
      </c>
      <c r="M246" s="20" t="s">
        <v>1320</v>
      </c>
      <c r="N246" s="20">
        <v>24</v>
      </c>
      <c r="O246" s="20" t="s">
        <v>30</v>
      </c>
      <c r="P246" s="20" t="s">
        <v>30</v>
      </c>
      <c r="Q246" s="21">
        <v>46253</v>
      </c>
      <c r="R246" s="21">
        <v>46254</v>
      </c>
      <c r="S246" s="20" t="s">
        <v>41</v>
      </c>
      <c r="T246" s="18" t="s">
        <v>42</v>
      </c>
      <c r="U246" s="18" t="s">
        <v>1113</v>
      </c>
    </row>
    <row r="247" spans="1:21" ht="33.6" customHeight="1" thickTop="1" thickBot="1">
      <c r="A247" s="18" t="str">
        <f t="shared" si="3"/>
        <v>agosto</v>
      </c>
      <c r="B247" s="18" t="s">
        <v>1282</v>
      </c>
      <c r="C247" s="7" t="s">
        <v>7</v>
      </c>
      <c r="D247" s="7" t="s">
        <v>8</v>
      </c>
      <c r="E247" s="18" t="s">
        <v>1321</v>
      </c>
      <c r="F247" s="18" t="s">
        <v>1322</v>
      </c>
      <c r="G247" s="19" t="s">
        <v>1323</v>
      </c>
      <c r="H247" s="18" t="s">
        <v>32</v>
      </c>
      <c r="I247" s="18" t="s">
        <v>1324</v>
      </c>
      <c r="J247" s="18" t="s">
        <v>33</v>
      </c>
      <c r="K247" s="20" t="s">
        <v>34</v>
      </c>
      <c r="L247" s="20">
        <v>1501</v>
      </c>
      <c r="M247" s="20" t="s">
        <v>1325</v>
      </c>
      <c r="N247" s="20" t="s">
        <v>30</v>
      </c>
      <c r="O247" s="20" t="s">
        <v>30</v>
      </c>
      <c r="P247" s="20" t="s">
        <v>30</v>
      </c>
      <c r="Q247" s="21">
        <v>46253</v>
      </c>
      <c r="R247" s="21">
        <v>46254</v>
      </c>
      <c r="S247" s="20" t="s">
        <v>49</v>
      </c>
      <c r="T247" s="18" t="s">
        <v>31</v>
      </c>
      <c r="U247" s="18" t="s">
        <v>30</v>
      </c>
    </row>
    <row r="248" spans="1:21" ht="33.6" customHeight="1" thickTop="1" thickBot="1">
      <c r="A248" s="18" t="str">
        <f t="shared" si="3"/>
        <v>agosto</v>
      </c>
      <c r="B248" s="18" t="s">
        <v>1283</v>
      </c>
      <c r="C248" s="7" t="s">
        <v>9</v>
      </c>
      <c r="D248" s="7" t="s">
        <v>10</v>
      </c>
      <c r="E248" s="18" t="s">
        <v>1326</v>
      </c>
      <c r="F248" s="18" t="s">
        <v>1327</v>
      </c>
      <c r="G248" s="19" t="s">
        <v>1328</v>
      </c>
      <c r="H248" s="18" t="s">
        <v>40</v>
      </c>
      <c r="I248" s="18" t="s">
        <v>1329</v>
      </c>
      <c r="J248" s="18" t="s">
        <v>38</v>
      </c>
      <c r="K248" s="20" t="s">
        <v>43</v>
      </c>
      <c r="L248" s="20">
        <v>1502</v>
      </c>
      <c r="M248" s="20" t="s">
        <v>1330</v>
      </c>
      <c r="N248" s="20">
        <v>21</v>
      </c>
      <c r="O248" s="20" t="s">
        <v>30</v>
      </c>
      <c r="P248" s="20" t="s">
        <v>30</v>
      </c>
      <c r="Q248" s="21">
        <v>46253</v>
      </c>
      <c r="R248" s="21">
        <v>46254</v>
      </c>
      <c r="S248" s="20" t="s">
        <v>41</v>
      </c>
      <c r="T248" s="18" t="s">
        <v>42</v>
      </c>
      <c r="U248" s="18" t="s">
        <v>1113</v>
      </c>
    </row>
    <row r="249" spans="1:21" ht="33.6" customHeight="1" thickTop="1" thickBot="1">
      <c r="A249" s="18" t="str">
        <f t="shared" si="3"/>
        <v>agosto</v>
      </c>
      <c r="B249" s="18" t="s">
        <v>1284</v>
      </c>
      <c r="C249" s="7" t="s">
        <v>7</v>
      </c>
      <c r="D249" s="7" t="s">
        <v>8</v>
      </c>
      <c r="E249" s="18" t="s">
        <v>1331</v>
      </c>
      <c r="F249" s="18" t="s">
        <v>1332</v>
      </c>
      <c r="G249" s="19" t="s">
        <v>1333</v>
      </c>
      <c r="H249" s="18" t="s">
        <v>32</v>
      </c>
      <c r="I249" s="18" t="s">
        <v>1334</v>
      </c>
      <c r="J249" s="18" t="s">
        <v>57</v>
      </c>
      <c r="K249" s="20" t="s">
        <v>43</v>
      </c>
      <c r="L249" s="20">
        <v>1502</v>
      </c>
      <c r="M249" s="20" t="s">
        <v>1335</v>
      </c>
      <c r="N249" s="20">
        <v>30</v>
      </c>
      <c r="O249" s="20" t="s">
        <v>30</v>
      </c>
      <c r="P249" s="20" t="s">
        <v>30</v>
      </c>
      <c r="Q249" s="21">
        <v>46253</v>
      </c>
      <c r="R249" s="21">
        <v>46254</v>
      </c>
      <c r="S249" s="20" t="s">
        <v>49</v>
      </c>
      <c r="T249" s="18" t="s">
        <v>31</v>
      </c>
      <c r="U249" s="18" t="s">
        <v>1113</v>
      </c>
    </row>
    <row r="250" spans="1:21" ht="33.6" customHeight="1" thickTop="1" thickBot="1">
      <c r="A250" s="18" t="str">
        <f t="shared" si="3"/>
        <v>agosto</v>
      </c>
      <c r="B250" s="18" t="s">
        <v>1285</v>
      </c>
      <c r="C250" s="7" t="s">
        <v>7</v>
      </c>
      <c r="D250" s="7" t="s">
        <v>8</v>
      </c>
      <c r="E250" s="18" t="s">
        <v>1336</v>
      </c>
      <c r="F250" s="18" t="s">
        <v>1337</v>
      </c>
      <c r="G250" s="19" t="s">
        <v>1338</v>
      </c>
      <c r="H250" s="18" t="s">
        <v>37</v>
      </c>
      <c r="I250" s="18" t="s">
        <v>1339</v>
      </c>
      <c r="J250" s="18" t="s">
        <v>60</v>
      </c>
      <c r="K250" s="20" t="s">
        <v>34</v>
      </c>
      <c r="L250" s="20">
        <v>1501</v>
      </c>
      <c r="M250" s="20" t="s">
        <v>1340</v>
      </c>
      <c r="N250" s="20" t="s">
        <v>30</v>
      </c>
      <c r="O250" s="20" t="s">
        <v>30</v>
      </c>
      <c r="P250" s="20" t="s">
        <v>30</v>
      </c>
      <c r="Q250" s="21">
        <v>46253</v>
      </c>
      <c r="R250" s="21">
        <v>46254</v>
      </c>
      <c r="S250" s="20" t="s">
        <v>35</v>
      </c>
      <c r="T250" s="18" t="s">
        <v>31</v>
      </c>
      <c r="U250" s="18" t="s">
        <v>30</v>
      </c>
    </row>
    <row r="251" spans="1:21" ht="33.6" customHeight="1" thickTop="1" thickBot="1">
      <c r="A251" s="18" t="str">
        <f t="shared" si="3"/>
        <v>agosto</v>
      </c>
      <c r="B251" s="18" t="s">
        <v>1286</v>
      </c>
      <c r="C251" s="7" t="s">
        <v>7</v>
      </c>
      <c r="D251" s="7" t="s">
        <v>8</v>
      </c>
      <c r="E251" s="18" t="s">
        <v>1341</v>
      </c>
      <c r="F251" s="18" t="s">
        <v>1342</v>
      </c>
      <c r="G251" s="19" t="s">
        <v>1343</v>
      </c>
      <c r="H251" s="18" t="s">
        <v>40</v>
      </c>
      <c r="I251" s="18" t="s">
        <v>1344</v>
      </c>
      <c r="J251" s="18" t="s">
        <v>38</v>
      </c>
      <c r="K251" s="20" t="s">
        <v>34</v>
      </c>
      <c r="L251" s="20">
        <v>1502</v>
      </c>
      <c r="M251" s="20" t="s">
        <v>1345</v>
      </c>
      <c r="N251" s="20" t="s">
        <v>30</v>
      </c>
      <c r="O251" s="20" t="s">
        <v>30</v>
      </c>
      <c r="P251" s="20" t="s">
        <v>30</v>
      </c>
      <c r="Q251" s="21">
        <v>46253</v>
      </c>
      <c r="R251" s="21">
        <v>46254</v>
      </c>
      <c r="S251" s="20" t="s">
        <v>52</v>
      </c>
      <c r="T251" s="18" t="s">
        <v>31</v>
      </c>
      <c r="U251" s="18" t="s">
        <v>30</v>
      </c>
    </row>
    <row r="252" spans="1:21" ht="33.6" customHeight="1" thickTop="1" thickBot="1">
      <c r="A252" s="18" t="str">
        <f t="shared" si="3"/>
        <v>agosto</v>
      </c>
      <c r="B252" s="18" t="s">
        <v>1287</v>
      </c>
      <c r="C252" s="7" t="s">
        <v>7</v>
      </c>
      <c r="D252" s="7" t="s">
        <v>8</v>
      </c>
      <c r="E252" s="18" t="s">
        <v>1346</v>
      </c>
      <c r="F252" s="18" t="s">
        <v>1347</v>
      </c>
      <c r="G252" s="19" t="s">
        <v>1348</v>
      </c>
      <c r="H252" s="18" t="s">
        <v>37</v>
      </c>
      <c r="I252" s="18" t="s">
        <v>1349</v>
      </c>
      <c r="J252" s="18" t="s">
        <v>55</v>
      </c>
      <c r="K252" s="20" t="s">
        <v>43</v>
      </c>
      <c r="L252" s="20">
        <v>1502</v>
      </c>
      <c r="M252" s="20" t="s">
        <v>1350</v>
      </c>
      <c r="N252" s="20">
        <v>90</v>
      </c>
      <c r="O252" s="20" t="s">
        <v>30</v>
      </c>
      <c r="P252" s="20" t="s">
        <v>30</v>
      </c>
      <c r="Q252" s="21">
        <v>46253</v>
      </c>
      <c r="R252" s="21">
        <v>46254</v>
      </c>
      <c r="S252" s="20" t="s">
        <v>53</v>
      </c>
      <c r="T252" s="18" t="s">
        <v>31</v>
      </c>
      <c r="U252" s="18" t="s">
        <v>1113</v>
      </c>
    </row>
    <row r="253" spans="1:21" ht="33.6" customHeight="1" thickTop="1" thickBot="1">
      <c r="A253" s="18" t="str">
        <f t="shared" si="3"/>
        <v>agosto</v>
      </c>
      <c r="B253" s="18" t="s">
        <v>1288</v>
      </c>
      <c r="C253" s="7" t="s">
        <v>7</v>
      </c>
      <c r="D253" s="7" t="s">
        <v>8</v>
      </c>
      <c r="E253" s="18" t="s">
        <v>1351</v>
      </c>
      <c r="F253" s="18" t="s">
        <v>1352</v>
      </c>
      <c r="G253" s="19" t="s">
        <v>1353</v>
      </c>
      <c r="H253" s="18" t="s">
        <v>32</v>
      </c>
      <c r="I253" s="18" t="s">
        <v>1354</v>
      </c>
      <c r="J253" s="18" t="s">
        <v>33</v>
      </c>
      <c r="K253" s="20" t="s">
        <v>43</v>
      </c>
      <c r="L253" s="20">
        <v>1502</v>
      </c>
      <c r="M253" s="20" t="s">
        <v>1355</v>
      </c>
      <c r="N253" s="20">
        <v>30</v>
      </c>
      <c r="O253" s="20" t="s">
        <v>30</v>
      </c>
      <c r="P253" s="20" t="s">
        <v>30</v>
      </c>
      <c r="Q253" s="21">
        <v>46253</v>
      </c>
      <c r="R253" s="21">
        <v>46254</v>
      </c>
      <c r="S253" s="20" t="s">
        <v>49</v>
      </c>
      <c r="T253" s="18" t="s">
        <v>31</v>
      </c>
      <c r="U253" s="18" t="s">
        <v>1113</v>
      </c>
    </row>
    <row r="254" spans="1:21" ht="33.6" customHeight="1" thickTop="1" thickBot="1">
      <c r="A254" s="18" t="str">
        <f t="shared" si="3"/>
        <v>agosto</v>
      </c>
      <c r="B254" s="18" t="s">
        <v>1289</v>
      </c>
      <c r="C254" s="7" t="s">
        <v>7</v>
      </c>
      <c r="D254" s="7" t="s">
        <v>8</v>
      </c>
      <c r="E254" s="18" t="s">
        <v>1356</v>
      </c>
      <c r="F254" s="18" t="s">
        <v>1357</v>
      </c>
      <c r="G254" s="19" t="s">
        <v>1358</v>
      </c>
      <c r="H254" s="18" t="s">
        <v>37</v>
      </c>
      <c r="I254" s="18" t="s">
        <v>1359</v>
      </c>
      <c r="J254" s="18" t="s">
        <v>60</v>
      </c>
      <c r="K254" s="20" t="s">
        <v>39</v>
      </c>
      <c r="L254" s="20">
        <v>1502</v>
      </c>
      <c r="M254" s="20" t="s">
        <v>1360</v>
      </c>
      <c r="N254" s="20" t="s">
        <v>30</v>
      </c>
      <c r="O254" s="20" t="s">
        <v>30</v>
      </c>
      <c r="P254" s="20" t="s">
        <v>30</v>
      </c>
      <c r="Q254" s="21">
        <v>46253</v>
      </c>
      <c r="R254" s="21">
        <v>46254</v>
      </c>
      <c r="S254" s="20" t="s">
        <v>35</v>
      </c>
      <c r="T254" s="18" t="s">
        <v>31</v>
      </c>
      <c r="U254" s="18" t="s">
        <v>30</v>
      </c>
    </row>
    <row r="255" spans="1:21" ht="33.6" customHeight="1" thickTop="1" thickBot="1">
      <c r="A255" s="18" t="str">
        <f t="shared" si="3"/>
        <v>agosto</v>
      </c>
      <c r="B255" s="18" t="s">
        <v>1290</v>
      </c>
      <c r="C255" s="7" t="s">
        <v>7</v>
      </c>
      <c r="D255" s="7" t="s">
        <v>8</v>
      </c>
      <c r="E255" s="18" t="s">
        <v>1361</v>
      </c>
      <c r="F255" s="18" t="s">
        <v>1362</v>
      </c>
      <c r="G255" s="19" t="s">
        <v>1363</v>
      </c>
      <c r="H255" s="18" t="s">
        <v>37</v>
      </c>
      <c r="I255" s="18" t="s">
        <v>1364</v>
      </c>
      <c r="J255" s="18" t="s">
        <v>55</v>
      </c>
      <c r="K255" s="20" t="s">
        <v>39</v>
      </c>
      <c r="L255" s="20">
        <v>1501</v>
      </c>
      <c r="M255" s="20" t="s">
        <v>1365</v>
      </c>
      <c r="N255" s="20" t="s">
        <v>30</v>
      </c>
      <c r="O255" s="20" t="s">
        <v>30</v>
      </c>
      <c r="P255" s="20" t="s">
        <v>30</v>
      </c>
      <c r="Q255" s="21">
        <v>46253</v>
      </c>
      <c r="R255" s="21">
        <v>46254</v>
      </c>
      <c r="S255" s="20" t="s">
        <v>53</v>
      </c>
      <c r="T255" s="18" t="s">
        <v>31</v>
      </c>
      <c r="U255" s="18" t="s">
        <v>30</v>
      </c>
    </row>
    <row r="256" spans="1:21" ht="33.6" customHeight="1" thickTop="1" thickBot="1">
      <c r="A256" s="18" t="str">
        <f t="shared" si="3"/>
        <v>agosto</v>
      </c>
      <c r="B256" s="18" t="s">
        <v>1291</v>
      </c>
      <c r="C256" s="7" t="s">
        <v>9</v>
      </c>
      <c r="D256" s="7" t="s">
        <v>10</v>
      </c>
      <c r="E256" s="18" t="s">
        <v>1366</v>
      </c>
      <c r="F256" s="18" t="s">
        <v>1367</v>
      </c>
      <c r="G256" s="19" t="s">
        <v>1368</v>
      </c>
      <c r="H256" s="18" t="s">
        <v>40</v>
      </c>
      <c r="I256" s="18" t="s">
        <v>61</v>
      </c>
      <c r="J256" s="18" t="s">
        <v>38</v>
      </c>
      <c r="K256" s="20" t="s">
        <v>43</v>
      </c>
      <c r="L256" s="20">
        <v>1502</v>
      </c>
      <c r="M256" s="20" t="s">
        <v>1369</v>
      </c>
      <c r="N256" s="20">
        <v>50</v>
      </c>
      <c r="O256" s="20" t="s">
        <v>30</v>
      </c>
      <c r="P256" s="20" t="s">
        <v>30</v>
      </c>
      <c r="Q256" s="21">
        <v>46253</v>
      </c>
      <c r="R256" s="21">
        <v>46254</v>
      </c>
      <c r="S256" s="20" t="s">
        <v>41</v>
      </c>
      <c r="T256" s="18" t="s">
        <v>42</v>
      </c>
      <c r="U256" s="18" t="s">
        <v>1113</v>
      </c>
    </row>
    <row r="257" spans="1:21" ht="33.6" customHeight="1" thickTop="1" thickBot="1">
      <c r="A257" s="18" t="str">
        <f t="shared" si="3"/>
        <v>agosto</v>
      </c>
      <c r="B257" s="18" t="s">
        <v>1292</v>
      </c>
      <c r="E257" s="18" t="s">
        <v>1370</v>
      </c>
      <c r="F257" s="18" t="s">
        <v>1371</v>
      </c>
      <c r="G257" s="19" t="s">
        <v>1372</v>
      </c>
      <c r="H257" s="18" t="s">
        <v>37</v>
      </c>
      <c r="I257" s="18" t="s">
        <v>1373</v>
      </c>
      <c r="J257" s="18" t="s">
        <v>55</v>
      </c>
      <c r="K257" s="20" t="s">
        <v>34</v>
      </c>
      <c r="L257" s="20">
        <v>1502</v>
      </c>
      <c r="M257" s="20" t="s">
        <v>1374</v>
      </c>
      <c r="N257" s="20" t="s">
        <v>30</v>
      </c>
      <c r="O257" s="20" t="s">
        <v>30</v>
      </c>
      <c r="P257" s="20" t="s">
        <v>30</v>
      </c>
      <c r="Q257" s="21">
        <v>46254</v>
      </c>
      <c r="R257" s="21">
        <v>46254</v>
      </c>
      <c r="S257" s="20" t="s">
        <v>56</v>
      </c>
      <c r="T257" s="18" t="s">
        <v>30</v>
      </c>
      <c r="U257" s="18" t="s">
        <v>30</v>
      </c>
    </row>
    <row r="258" spans="1:21" ht="33.6" customHeight="1" thickTop="1" thickBot="1">
      <c r="A258" s="18" t="str">
        <f t="shared" si="3"/>
        <v>agosto</v>
      </c>
      <c r="B258" s="18" t="s">
        <v>1293</v>
      </c>
      <c r="E258" s="18" t="s">
        <v>1375</v>
      </c>
      <c r="F258" s="18" t="s">
        <v>1376</v>
      </c>
      <c r="G258" s="19" t="s">
        <v>1377</v>
      </c>
      <c r="H258" s="18" t="s">
        <v>32</v>
      </c>
      <c r="I258" s="18" t="s">
        <v>1378</v>
      </c>
      <c r="J258" s="18" t="s">
        <v>51</v>
      </c>
      <c r="K258" s="20" t="s">
        <v>34</v>
      </c>
      <c r="L258" s="20">
        <v>1502</v>
      </c>
      <c r="M258" s="20" t="s">
        <v>1379</v>
      </c>
      <c r="N258" s="20" t="s">
        <v>30</v>
      </c>
      <c r="O258" s="20" t="s">
        <v>30</v>
      </c>
      <c r="P258" s="20" t="s">
        <v>30</v>
      </c>
      <c r="Q258" s="21">
        <v>46254</v>
      </c>
      <c r="R258" s="21">
        <v>46254</v>
      </c>
      <c r="S258" s="20" t="s">
        <v>56</v>
      </c>
      <c r="T258" s="18" t="s">
        <v>30</v>
      </c>
      <c r="U258" s="18" t="s">
        <v>30</v>
      </c>
    </row>
    <row r="259" spans="1:21" ht="33.6" customHeight="1" thickTop="1" thickBot="1">
      <c r="A259" s="18" t="str">
        <f t="shared" ref="A259:A322" si="4">TEXT(R259,"MMMM")</f>
        <v>agosto</v>
      </c>
      <c r="B259" s="18" t="s">
        <v>1294</v>
      </c>
      <c r="E259" s="18" t="s">
        <v>1380</v>
      </c>
      <c r="F259" s="18" t="s">
        <v>1381</v>
      </c>
      <c r="G259" s="19" t="s">
        <v>1382</v>
      </c>
      <c r="H259" s="18" t="s">
        <v>46</v>
      </c>
      <c r="I259" s="18" t="s">
        <v>1383</v>
      </c>
      <c r="J259" s="18" t="s">
        <v>45</v>
      </c>
      <c r="K259" s="20" t="s">
        <v>34</v>
      </c>
      <c r="L259" s="20">
        <v>1502</v>
      </c>
      <c r="M259" s="20" t="s">
        <v>1384</v>
      </c>
      <c r="N259" s="20" t="s">
        <v>30</v>
      </c>
      <c r="O259" s="20" t="s">
        <v>30</v>
      </c>
      <c r="P259" s="20" t="s">
        <v>30</v>
      </c>
      <c r="Q259" s="21">
        <v>46254</v>
      </c>
      <c r="R259" s="21">
        <v>46254</v>
      </c>
      <c r="S259" s="20" t="s">
        <v>56</v>
      </c>
      <c r="T259" s="18" t="s">
        <v>30</v>
      </c>
      <c r="U259" s="18" t="s">
        <v>30</v>
      </c>
    </row>
    <row r="260" spans="1:21" ht="33.6" customHeight="1" thickTop="1" thickBot="1">
      <c r="A260" s="18" t="str">
        <f t="shared" si="4"/>
        <v>agosto</v>
      </c>
      <c r="B260" s="18" t="s">
        <v>1295</v>
      </c>
      <c r="C260" s="7" t="s">
        <v>7</v>
      </c>
      <c r="D260" s="7" t="s">
        <v>8</v>
      </c>
      <c r="E260" s="18" t="s">
        <v>1385</v>
      </c>
      <c r="F260" s="18" t="s">
        <v>1386</v>
      </c>
      <c r="G260" s="19" t="s">
        <v>1387</v>
      </c>
      <c r="H260" s="18" t="s">
        <v>40</v>
      </c>
      <c r="I260" s="18" t="s">
        <v>1344</v>
      </c>
      <c r="J260" s="18" t="s">
        <v>38</v>
      </c>
      <c r="K260" s="20" t="s">
        <v>39</v>
      </c>
      <c r="L260" s="20">
        <v>1502</v>
      </c>
      <c r="M260" s="20" t="s">
        <v>1388</v>
      </c>
      <c r="N260" s="20" t="s">
        <v>30</v>
      </c>
      <c r="O260" s="20" t="s">
        <v>30</v>
      </c>
      <c r="P260" s="20" t="s">
        <v>30</v>
      </c>
      <c r="Q260" s="21">
        <v>46254</v>
      </c>
      <c r="R260" s="21">
        <v>46254</v>
      </c>
      <c r="S260" s="20" t="s">
        <v>52</v>
      </c>
      <c r="T260" s="18" t="s">
        <v>31</v>
      </c>
      <c r="U260" s="18" t="s">
        <v>30</v>
      </c>
    </row>
    <row r="261" spans="1:21" ht="33.6" customHeight="1" thickTop="1" thickBot="1">
      <c r="A261" s="18" t="str">
        <f t="shared" si="4"/>
        <v>agosto</v>
      </c>
      <c r="B261" s="18" t="s">
        <v>1296</v>
      </c>
      <c r="E261" s="18" t="s">
        <v>1389</v>
      </c>
      <c r="F261" s="18" t="s">
        <v>1390</v>
      </c>
      <c r="G261" s="19" t="s">
        <v>1391</v>
      </c>
      <c r="H261" s="18" t="s">
        <v>64</v>
      </c>
      <c r="I261" s="18" t="s">
        <v>1392</v>
      </c>
      <c r="J261" s="18" t="s">
        <v>45</v>
      </c>
      <c r="K261" s="20" t="s">
        <v>34</v>
      </c>
      <c r="L261" s="20">
        <v>1502</v>
      </c>
      <c r="M261" s="20" t="s">
        <v>1393</v>
      </c>
      <c r="N261" s="20" t="s">
        <v>30</v>
      </c>
      <c r="O261" s="20" t="s">
        <v>30</v>
      </c>
      <c r="P261" s="20" t="s">
        <v>30</v>
      </c>
      <c r="Q261" s="21">
        <v>46254</v>
      </c>
      <c r="R261" s="21">
        <v>46254</v>
      </c>
      <c r="S261" s="20" t="s">
        <v>56</v>
      </c>
      <c r="T261" s="18" t="s">
        <v>30</v>
      </c>
      <c r="U261" s="18" t="s">
        <v>30</v>
      </c>
    </row>
    <row r="262" spans="1:21" ht="33.6" customHeight="1" thickTop="1" thickBot="1">
      <c r="A262" s="18" t="str">
        <f t="shared" si="4"/>
        <v>agosto</v>
      </c>
      <c r="B262" s="18" t="s">
        <v>1394</v>
      </c>
      <c r="C262" s="7" t="s">
        <v>7</v>
      </c>
      <c r="D262" s="7" t="s">
        <v>8</v>
      </c>
      <c r="E262" s="18" t="s">
        <v>1412</v>
      </c>
      <c r="F262" s="18" t="s">
        <v>1413</v>
      </c>
      <c r="G262" s="19" t="s">
        <v>1414</v>
      </c>
      <c r="H262" s="18" t="s">
        <v>40</v>
      </c>
      <c r="I262" s="18" t="s">
        <v>1415</v>
      </c>
      <c r="J262" s="18" t="s">
        <v>45</v>
      </c>
      <c r="K262" s="20" t="s">
        <v>34</v>
      </c>
      <c r="L262" s="20">
        <v>1502</v>
      </c>
      <c r="M262" s="20" t="s">
        <v>1416</v>
      </c>
      <c r="N262" s="20" t="s">
        <v>30</v>
      </c>
      <c r="O262" s="20" t="s">
        <v>30</v>
      </c>
      <c r="P262" s="20" t="s">
        <v>30</v>
      </c>
      <c r="Q262" s="21">
        <v>46252</v>
      </c>
      <c r="R262" s="21">
        <v>46255</v>
      </c>
      <c r="S262" s="20" t="s">
        <v>35</v>
      </c>
      <c r="T262" s="18" t="s">
        <v>31</v>
      </c>
      <c r="U262" s="18" t="s">
        <v>30</v>
      </c>
    </row>
    <row r="263" spans="1:21" ht="33.6" customHeight="1" thickTop="1" thickBot="1">
      <c r="A263" s="18" t="str">
        <f t="shared" si="4"/>
        <v>agosto</v>
      </c>
      <c r="B263" s="18" t="s">
        <v>1395</v>
      </c>
      <c r="C263" s="7" t="s">
        <v>7</v>
      </c>
      <c r="D263" s="7" t="s">
        <v>8</v>
      </c>
      <c r="E263" s="18" t="s">
        <v>1417</v>
      </c>
      <c r="F263" s="18" t="s">
        <v>1418</v>
      </c>
      <c r="G263" s="19" t="s">
        <v>1419</v>
      </c>
      <c r="H263" s="18" t="s">
        <v>37</v>
      </c>
      <c r="I263" s="18" t="s">
        <v>1420</v>
      </c>
      <c r="J263" s="18" t="s">
        <v>59</v>
      </c>
      <c r="K263" s="20" t="s">
        <v>43</v>
      </c>
      <c r="L263" s="20">
        <v>1501</v>
      </c>
      <c r="M263" s="20" t="s">
        <v>1421</v>
      </c>
      <c r="N263" s="20" t="s">
        <v>30</v>
      </c>
      <c r="O263" s="20">
        <v>80</v>
      </c>
      <c r="P263" s="20">
        <v>3</v>
      </c>
      <c r="Q263" s="21">
        <v>46252</v>
      </c>
      <c r="R263" s="21">
        <v>46255</v>
      </c>
      <c r="S263" s="20" t="s">
        <v>52</v>
      </c>
      <c r="T263" s="18" t="s">
        <v>31</v>
      </c>
      <c r="U263" s="18" t="s">
        <v>1113</v>
      </c>
    </row>
    <row r="264" spans="1:21" ht="33.6" customHeight="1" thickTop="1" thickBot="1">
      <c r="A264" s="18" t="str">
        <f t="shared" si="4"/>
        <v>agosto</v>
      </c>
      <c r="B264" s="18" t="s">
        <v>1205</v>
      </c>
      <c r="C264" s="7" t="s">
        <v>7</v>
      </c>
      <c r="D264" s="7" t="s">
        <v>8</v>
      </c>
      <c r="E264" s="18" t="s">
        <v>1253</v>
      </c>
      <c r="F264" s="18" t="s">
        <v>1254</v>
      </c>
      <c r="G264" s="19" t="s">
        <v>1255</v>
      </c>
      <c r="H264" s="18" t="s">
        <v>37</v>
      </c>
      <c r="I264" s="18" t="s">
        <v>1256</v>
      </c>
      <c r="J264" s="18" t="s">
        <v>60</v>
      </c>
      <c r="K264" s="20" t="s">
        <v>43</v>
      </c>
      <c r="L264" s="20">
        <v>1501</v>
      </c>
      <c r="M264" s="20" t="s">
        <v>1422</v>
      </c>
      <c r="N264" s="20">
        <v>65</v>
      </c>
      <c r="O264" s="20" t="s">
        <v>30</v>
      </c>
      <c r="P264" s="20" t="s">
        <v>30</v>
      </c>
      <c r="Q264" s="21">
        <v>46252</v>
      </c>
      <c r="R264" s="21">
        <v>46255</v>
      </c>
      <c r="S264" s="20" t="s">
        <v>53</v>
      </c>
      <c r="T264" s="18" t="s">
        <v>31</v>
      </c>
      <c r="U264" s="18" t="s">
        <v>1113</v>
      </c>
    </row>
    <row r="265" spans="1:21" ht="33.6" customHeight="1" thickTop="1" thickBot="1">
      <c r="A265" s="18" t="str">
        <f t="shared" si="4"/>
        <v>agosto</v>
      </c>
      <c r="B265" s="18" t="s">
        <v>1206</v>
      </c>
      <c r="C265" s="7" t="s">
        <v>7</v>
      </c>
      <c r="D265" s="7" t="s">
        <v>8</v>
      </c>
      <c r="E265" s="18" t="s">
        <v>1258</v>
      </c>
      <c r="F265" s="18" t="s">
        <v>1259</v>
      </c>
      <c r="G265" s="19" t="s">
        <v>1260</v>
      </c>
      <c r="H265" s="18" t="s">
        <v>32</v>
      </c>
      <c r="I265" s="18" t="s">
        <v>1261</v>
      </c>
      <c r="J265" s="18" t="s">
        <v>33</v>
      </c>
      <c r="K265" s="20" t="s">
        <v>43</v>
      </c>
      <c r="L265" s="20">
        <v>1502</v>
      </c>
      <c r="M265" s="20" t="s">
        <v>1423</v>
      </c>
      <c r="N265" s="20">
        <v>100</v>
      </c>
      <c r="O265" s="20" t="s">
        <v>30</v>
      </c>
      <c r="P265" s="20" t="s">
        <v>30</v>
      </c>
      <c r="Q265" s="21">
        <v>46252</v>
      </c>
      <c r="R265" s="21">
        <v>46255</v>
      </c>
      <c r="S265" s="20" t="s">
        <v>52</v>
      </c>
      <c r="T265" s="18" t="s">
        <v>31</v>
      </c>
      <c r="U265" s="18" t="s">
        <v>1113</v>
      </c>
    </row>
    <row r="266" spans="1:21" ht="33.6" customHeight="1" thickTop="1" thickBot="1">
      <c r="A266" s="18" t="str">
        <f t="shared" si="4"/>
        <v>agosto</v>
      </c>
      <c r="B266" s="18" t="s">
        <v>1396</v>
      </c>
      <c r="C266" s="7" t="s">
        <v>7</v>
      </c>
      <c r="D266" s="7" t="s">
        <v>8</v>
      </c>
      <c r="E266" s="18" t="s">
        <v>1424</v>
      </c>
      <c r="F266" s="18" t="s">
        <v>1425</v>
      </c>
      <c r="G266" s="19" t="s">
        <v>1426</v>
      </c>
      <c r="H266" s="18" t="s">
        <v>46</v>
      </c>
      <c r="I266" s="18" t="s">
        <v>1427</v>
      </c>
      <c r="J266" s="18" t="s">
        <v>62</v>
      </c>
      <c r="K266" s="20" t="s">
        <v>34</v>
      </c>
      <c r="L266" s="20">
        <v>1502</v>
      </c>
      <c r="M266" s="20" t="s">
        <v>1428</v>
      </c>
      <c r="N266" s="20" t="s">
        <v>30</v>
      </c>
      <c r="O266" s="20" t="s">
        <v>30</v>
      </c>
      <c r="P266" s="20" t="s">
        <v>30</v>
      </c>
      <c r="Q266" s="21">
        <v>46254</v>
      </c>
      <c r="R266" s="21">
        <v>46255</v>
      </c>
      <c r="S266" s="20" t="s">
        <v>35</v>
      </c>
      <c r="T266" s="18" t="s">
        <v>31</v>
      </c>
      <c r="U266" s="18" t="s">
        <v>30</v>
      </c>
    </row>
    <row r="267" spans="1:21" ht="33.6" customHeight="1" thickTop="1" thickBot="1">
      <c r="A267" s="18" t="str">
        <f t="shared" si="4"/>
        <v>agosto</v>
      </c>
      <c r="B267" s="18" t="s">
        <v>1397</v>
      </c>
      <c r="C267" s="7" t="s">
        <v>7</v>
      </c>
      <c r="D267" s="7" t="s">
        <v>8</v>
      </c>
      <c r="E267" s="18" t="s">
        <v>1429</v>
      </c>
      <c r="F267" s="18" t="s">
        <v>1430</v>
      </c>
      <c r="G267" s="19" t="s">
        <v>1431</v>
      </c>
      <c r="H267" s="18" t="s">
        <v>46</v>
      </c>
      <c r="I267" s="18" t="s">
        <v>1432</v>
      </c>
      <c r="J267" s="18" t="s">
        <v>51</v>
      </c>
      <c r="K267" s="20" t="s">
        <v>34</v>
      </c>
      <c r="L267" s="20">
        <v>1502</v>
      </c>
      <c r="M267" s="20" t="s">
        <v>1433</v>
      </c>
      <c r="N267" s="20" t="s">
        <v>30</v>
      </c>
      <c r="O267" s="20" t="s">
        <v>30</v>
      </c>
      <c r="P267" s="20" t="s">
        <v>30</v>
      </c>
      <c r="Q267" s="21">
        <v>46254</v>
      </c>
      <c r="R267" s="21">
        <v>46255</v>
      </c>
      <c r="S267" s="20" t="s">
        <v>49</v>
      </c>
      <c r="T267" s="18" t="s">
        <v>31</v>
      </c>
      <c r="U267" s="18" t="s">
        <v>30</v>
      </c>
    </row>
    <row r="268" spans="1:21" ht="33.6" customHeight="1" thickTop="1" thickBot="1">
      <c r="A268" s="18" t="str">
        <f t="shared" si="4"/>
        <v>agosto</v>
      </c>
      <c r="B268" s="18" t="s">
        <v>1398</v>
      </c>
      <c r="C268" s="7" t="s">
        <v>7</v>
      </c>
      <c r="D268" s="7" t="s">
        <v>8</v>
      </c>
      <c r="E268" s="18" t="s">
        <v>1434</v>
      </c>
      <c r="F268" s="18" t="s">
        <v>1435</v>
      </c>
      <c r="G268" s="19" t="s">
        <v>1436</v>
      </c>
      <c r="H268" s="18" t="s">
        <v>64</v>
      </c>
      <c r="I268" s="18" t="s">
        <v>1437</v>
      </c>
      <c r="J268" s="18" t="s">
        <v>55</v>
      </c>
      <c r="K268" s="20" t="s">
        <v>43</v>
      </c>
      <c r="L268" s="20">
        <v>1502</v>
      </c>
      <c r="M268" s="20" t="s">
        <v>1438</v>
      </c>
      <c r="N268" s="20">
        <v>30</v>
      </c>
      <c r="O268" s="20" t="s">
        <v>30</v>
      </c>
      <c r="P268" s="20" t="s">
        <v>30</v>
      </c>
      <c r="Q268" s="21">
        <v>46254</v>
      </c>
      <c r="R268" s="21">
        <v>46255</v>
      </c>
      <c r="S268" s="20" t="s">
        <v>53</v>
      </c>
      <c r="T268" s="18" t="s">
        <v>31</v>
      </c>
      <c r="U268" s="18" t="s">
        <v>1113</v>
      </c>
    </row>
    <row r="269" spans="1:21" ht="33.6" customHeight="1" thickTop="1" thickBot="1">
      <c r="A269" s="18" t="str">
        <f t="shared" si="4"/>
        <v>agosto</v>
      </c>
      <c r="B269" s="18" t="s">
        <v>1399</v>
      </c>
      <c r="C269" s="7" t="s">
        <v>7</v>
      </c>
      <c r="D269" s="7" t="s">
        <v>8</v>
      </c>
      <c r="E269" s="18" t="s">
        <v>1439</v>
      </c>
      <c r="F269" s="18" t="s">
        <v>1440</v>
      </c>
      <c r="G269" s="19" t="s">
        <v>1441</v>
      </c>
      <c r="H269" s="18" t="s">
        <v>46</v>
      </c>
      <c r="I269" s="18" t="s">
        <v>1442</v>
      </c>
      <c r="J269" s="18" t="s">
        <v>45</v>
      </c>
      <c r="K269" s="20" t="s">
        <v>43</v>
      </c>
      <c r="L269" s="20">
        <v>1502</v>
      </c>
      <c r="M269" s="20" t="s">
        <v>1443</v>
      </c>
      <c r="N269" s="20">
        <v>80</v>
      </c>
      <c r="O269" s="20" t="s">
        <v>30</v>
      </c>
      <c r="P269" s="20" t="s">
        <v>30</v>
      </c>
      <c r="Q269" s="21">
        <v>46254</v>
      </c>
      <c r="R269" s="21">
        <v>46255</v>
      </c>
      <c r="S269" s="20" t="s">
        <v>35</v>
      </c>
      <c r="T269" s="18" t="s">
        <v>31</v>
      </c>
      <c r="U269" s="18" t="s">
        <v>1113</v>
      </c>
    </row>
    <row r="270" spans="1:21" ht="33.6" customHeight="1" thickTop="1" thickBot="1">
      <c r="A270" s="18" t="str">
        <f t="shared" si="4"/>
        <v>agosto</v>
      </c>
      <c r="B270" s="18" t="s">
        <v>1400</v>
      </c>
      <c r="C270" s="7" t="s">
        <v>7</v>
      </c>
      <c r="D270" s="7" t="s">
        <v>8</v>
      </c>
      <c r="E270" s="18" t="s">
        <v>1444</v>
      </c>
      <c r="F270" s="18" t="s">
        <v>1445</v>
      </c>
      <c r="G270" s="19" t="s">
        <v>1446</v>
      </c>
      <c r="H270" s="18" t="s">
        <v>64</v>
      </c>
      <c r="I270" s="18" t="s">
        <v>1437</v>
      </c>
      <c r="J270" s="18" t="s">
        <v>55</v>
      </c>
      <c r="K270" s="20" t="s">
        <v>43</v>
      </c>
      <c r="L270" s="20">
        <v>1502</v>
      </c>
      <c r="M270" s="20" t="s">
        <v>1447</v>
      </c>
      <c r="N270" s="20">
        <v>30</v>
      </c>
      <c r="O270" s="20" t="s">
        <v>30</v>
      </c>
      <c r="P270" s="20" t="s">
        <v>30</v>
      </c>
      <c r="Q270" s="21">
        <v>46254</v>
      </c>
      <c r="R270" s="21">
        <v>46255</v>
      </c>
      <c r="S270" s="20" t="s">
        <v>53</v>
      </c>
      <c r="T270" s="18" t="s">
        <v>31</v>
      </c>
      <c r="U270" s="18" t="s">
        <v>1113</v>
      </c>
    </row>
    <row r="271" spans="1:21" ht="33.6" customHeight="1" thickTop="1" thickBot="1">
      <c r="A271" s="18" t="str">
        <f t="shared" si="4"/>
        <v>agosto</v>
      </c>
      <c r="B271" s="18" t="s">
        <v>1401</v>
      </c>
      <c r="C271" s="7" t="s">
        <v>9</v>
      </c>
      <c r="D271" s="7" t="s">
        <v>10</v>
      </c>
      <c r="E271" s="18" t="s">
        <v>1448</v>
      </c>
      <c r="F271" s="18" t="s">
        <v>1449</v>
      </c>
      <c r="G271" s="19" t="s">
        <v>1450</v>
      </c>
      <c r="H271" s="18" t="s">
        <v>40</v>
      </c>
      <c r="I271" s="18" t="s">
        <v>1451</v>
      </c>
      <c r="J271" s="18" t="s">
        <v>38</v>
      </c>
      <c r="K271" s="20" t="s">
        <v>34</v>
      </c>
      <c r="L271" s="20">
        <v>1502</v>
      </c>
      <c r="M271" s="20" t="s">
        <v>1452</v>
      </c>
      <c r="N271" s="20" t="s">
        <v>30</v>
      </c>
      <c r="O271" s="20" t="s">
        <v>30</v>
      </c>
      <c r="P271" s="20" t="s">
        <v>30</v>
      </c>
      <c r="Q271" s="21">
        <v>46254</v>
      </c>
      <c r="R271" s="21">
        <v>46255</v>
      </c>
      <c r="S271" s="20" t="s">
        <v>41</v>
      </c>
      <c r="T271" s="18" t="s">
        <v>42</v>
      </c>
      <c r="U271" s="18" t="s">
        <v>30</v>
      </c>
    </row>
    <row r="272" spans="1:21" ht="33.6" customHeight="1" thickTop="1" thickBot="1">
      <c r="A272" s="18" t="str">
        <f t="shared" si="4"/>
        <v>agosto</v>
      </c>
      <c r="B272" s="18" t="s">
        <v>1402</v>
      </c>
      <c r="C272" s="7" t="s">
        <v>7</v>
      </c>
      <c r="D272" s="7" t="s">
        <v>8</v>
      </c>
      <c r="E272" s="18" t="s">
        <v>1453</v>
      </c>
      <c r="F272" s="18" t="s">
        <v>1454</v>
      </c>
      <c r="G272" s="19" t="s">
        <v>1455</v>
      </c>
      <c r="H272" s="18" t="s">
        <v>46</v>
      </c>
      <c r="I272" s="18" t="s">
        <v>1456</v>
      </c>
      <c r="J272" s="18" t="s">
        <v>51</v>
      </c>
      <c r="K272" s="20" t="s">
        <v>39</v>
      </c>
      <c r="L272" s="20">
        <v>1502</v>
      </c>
      <c r="M272" s="20" t="s">
        <v>1457</v>
      </c>
      <c r="N272" s="20" t="s">
        <v>30</v>
      </c>
      <c r="O272" s="20" t="s">
        <v>30</v>
      </c>
      <c r="P272" s="20" t="s">
        <v>30</v>
      </c>
      <c r="Q272" s="21">
        <v>46254</v>
      </c>
      <c r="R272" s="21">
        <v>46255</v>
      </c>
      <c r="S272" s="20" t="s">
        <v>49</v>
      </c>
      <c r="T272" s="18" t="s">
        <v>31</v>
      </c>
      <c r="U272" s="18" t="s">
        <v>30</v>
      </c>
    </row>
    <row r="273" spans="1:21" ht="33.6" customHeight="1" thickTop="1" thickBot="1">
      <c r="A273" s="18" t="str">
        <f t="shared" si="4"/>
        <v>agosto</v>
      </c>
      <c r="B273" s="18" t="s">
        <v>1403</v>
      </c>
      <c r="C273" s="7" t="s">
        <v>7</v>
      </c>
      <c r="D273" s="7" t="s">
        <v>8</v>
      </c>
      <c r="E273" s="18" t="s">
        <v>1458</v>
      </c>
      <c r="F273" s="18" t="s">
        <v>1459</v>
      </c>
      <c r="G273" s="19" t="s">
        <v>1460</v>
      </c>
      <c r="H273" s="18" t="s">
        <v>32</v>
      </c>
      <c r="I273" s="18" t="s">
        <v>1461</v>
      </c>
      <c r="J273" s="18" t="s">
        <v>51</v>
      </c>
      <c r="K273" s="20" t="s">
        <v>43</v>
      </c>
      <c r="L273" s="20">
        <v>1502</v>
      </c>
      <c r="M273" s="20" t="s">
        <v>1462</v>
      </c>
      <c r="N273" s="20">
        <v>20</v>
      </c>
      <c r="O273" s="20" t="s">
        <v>30</v>
      </c>
      <c r="P273" s="20" t="s">
        <v>30</v>
      </c>
      <c r="Q273" s="21">
        <v>46254</v>
      </c>
      <c r="R273" s="21">
        <v>46255</v>
      </c>
      <c r="S273" s="20" t="s">
        <v>49</v>
      </c>
      <c r="T273" s="18" t="s">
        <v>31</v>
      </c>
      <c r="U273" s="18" t="s">
        <v>1113</v>
      </c>
    </row>
    <row r="274" spans="1:21" ht="33.6" customHeight="1" thickTop="1" thickBot="1">
      <c r="A274" s="18" t="str">
        <f t="shared" si="4"/>
        <v>agosto</v>
      </c>
      <c r="B274" s="18" t="s">
        <v>1404</v>
      </c>
      <c r="C274" s="7" t="s">
        <v>9</v>
      </c>
      <c r="D274" s="7" t="s">
        <v>10</v>
      </c>
      <c r="E274" s="18" t="s">
        <v>1463</v>
      </c>
      <c r="F274" s="18" t="s">
        <v>1464</v>
      </c>
      <c r="G274" s="19" t="s">
        <v>1465</v>
      </c>
      <c r="H274" s="18" t="s">
        <v>40</v>
      </c>
      <c r="I274" s="18" t="s">
        <v>61</v>
      </c>
      <c r="J274" s="18" t="s">
        <v>38</v>
      </c>
      <c r="K274" s="20" t="s">
        <v>43</v>
      </c>
      <c r="L274" s="20">
        <v>1502</v>
      </c>
      <c r="M274" s="20" t="s">
        <v>1466</v>
      </c>
      <c r="N274" s="20">
        <v>36</v>
      </c>
      <c r="O274" s="20" t="s">
        <v>30</v>
      </c>
      <c r="P274" s="20" t="s">
        <v>30</v>
      </c>
      <c r="Q274" s="21">
        <v>46254</v>
      </c>
      <c r="R274" s="21">
        <v>46255</v>
      </c>
      <c r="S274" s="20" t="s">
        <v>41</v>
      </c>
      <c r="T274" s="18" t="s">
        <v>42</v>
      </c>
      <c r="U274" s="18" t="s">
        <v>1113</v>
      </c>
    </row>
    <row r="275" spans="1:21" ht="33.6" customHeight="1" thickTop="1" thickBot="1">
      <c r="A275" s="18" t="str">
        <f t="shared" si="4"/>
        <v>agosto</v>
      </c>
      <c r="B275" s="18" t="s">
        <v>1295</v>
      </c>
      <c r="C275" s="7" t="s">
        <v>7</v>
      </c>
      <c r="D275" s="7" t="s">
        <v>8</v>
      </c>
      <c r="E275" s="18" t="s">
        <v>1385</v>
      </c>
      <c r="F275" s="18" t="s">
        <v>1386</v>
      </c>
      <c r="G275" s="19" t="s">
        <v>1387</v>
      </c>
      <c r="H275" s="18" t="s">
        <v>40</v>
      </c>
      <c r="I275" s="18" t="s">
        <v>1344</v>
      </c>
      <c r="J275" s="18" t="s">
        <v>38</v>
      </c>
      <c r="K275" s="20" t="s">
        <v>43</v>
      </c>
      <c r="L275" s="20">
        <v>1502</v>
      </c>
      <c r="M275" s="20" t="s">
        <v>1467</v>
      </c>
      <c r="N275" s="20">
        <v>40</v>
      </c>
      <c r="O275" s="20" t="s">
        <v>30</v>
      </c>
      <c r="P275" s="20" t="s">
        <v>30</v>
      </c>
      <c r="Q275" s="21">
        <v>46254</v>
      </c>
      <c r="R275" s="21">
        <v>46255</v>
      </c>
      <c r="S275" s="20" t="s">
        <v>52</v>
      </c>
      <c r="T275" s="18" t="s">
        <v>31</v>
      </c>
      <c r="U275" s="18" t="s">
        <v>1113</v>
      </c>
    </row>
    <row r="276" spans="1:21" ht="33.6" customHeight="1" thickTop="1" thickBot="1">
      <c r="A276" s="18" t="str">
        <f t="shared" si="4"/>
        <v>agosto</v>
      </c>
      <c r="B276" s="18" t="s">
        <v>1405</v>
      </c>
      <c r="E276" s="18" t="s">
        <v>1468</v>
      </c>
      <c r="F276" s="18" t="s">
        <v>1469</v>
      </c>
      <c r="G276" s="19" t="s">
        <v>1470</v>
      </c>
      <c r="H276" s="18" t="s">
        <v>37</v>
      </c>
      <c r="I276" s="18" t="s">
        <v>1471</v>
      </c>
      <c r="J276" s="18" t="s">
        <v>59</v>
      </c>
      <c r="K276" s="20" t="s">
        <v>34</v>
      </c>
      <c r="L276" s="20">
        <v>1502</v>
      </c>
      <c r="M276" s="20" t="s">
        <v>1472</v>
      </c>
      <c r="N276" s="20" t="s">
        <v>30</v>
      </c>
      <c r="O276" s="20" t="s">
        <v>30</v>
      </c>
      <c r="P276" s="20" t="s">
        <v>30</v>
      </c>
      <c r="Q276" s="21">
        <v>46255</v>
      </c>
      <c r="R276" s="21">
        <v>46255</v>
      </c>
      <c r="S276" s="20" t="s">
        <v>56</v>
      </c>
      <c r="T276" s="18" t="s">
        <v>30</v>
      </c>
      <c r="U276" s="18" t="s">
        <v>30</v>
      </c>
    </row>
    <row r="277" spans="1:21" ht="33.6" customHeight="1" thickTop="1" thickBot="1">
      <c r="A277" s="18" t="str">
        <f t="shared" si="4"/>
        <v>agosto</v>
      </c>
      <c r="B277" s="18" t="s">
        <v>1406</v>
      </c>
      <c r="E277" s="18" t="s">
        <v>1473</v>
      </c>
      <c r="F277" s="18" t="s">
        <v>1474</v>
      </c>
      <c r="G277" s="19" t="s">
        <v>1475</v>
      </c>
      <c r="H277" s="18" t="s">
        <v>32</v>
      </c>
      <c r="I277" s="18" t="s">
        <v>1476</v>
      </c>
      <c r="J277" s="18" t="s">
        <v>57</v>
      </c>
      <c r="K277" s="20" t="s">
        <v>34</v>
      </c>
      <c r="L277" s="20">
        <v>1501</v>
      </c>
      <c r="M277" s="20" t="s">
        <v>1477</v>
      </c>
      <c r="N277" s="20" t="s">
        <v>30</v>
      </c>
      <c r="O277" s="20" t="s">
        <v>30</v>
      </c>
      <c r="P277" s="20" t="s">
        <v>30</v>
      </c>
      <c r="Q277" s="21">
        <v>46255</v>
      </c>
      <c r="R277" s="21">
        <v>46255</v>
      </c>
      <c r="S277" s="20" t="s">
        <v>56</v>
      </c>
      <c r="T277" s="18" t="s">
        <v>30</v>
      </c>
      <c r="U277" s="18" t="s">
        <v>30</v>
      </c>
    </row>
    <row r="278" spans="1:21" ht="33.6" customHeight="1" thickTop="1" thickBot="1">
      <c r="A278" s="18" t="str">
        <f t="shared" si="4"/>
        <v>agosto</v>
      </c>
      <c r="B278" s="18" t="s">
        <v>1407</v>
      </c>
      <c r="E278" s="18" t="s">
        <v>1478</v>
      </c>
      <c r="F278" s="18" t="s">
        <v>1479</v>
      </c>
      <c r="G278" s="19" t="s">
        <v>1480</v>
      </c>
      <c r="H278" s="18" t="s">
        <v>46</v>
      </c>
      <c r="I278" s="18" t="s">
        <v>937</v>
      </c>
      <c r="J278" s="18" t="s">
        <v>45</v>
      </c>
      <c r="K278" s="20" t="s">
        <v>34</v>
      </c>
      <c r="L278" s="20">
        <v>1502</v>
      </c>
      <c r="M278" s="20" t="s">
        <v>1481</v>
      </c>
      <c r="N278" s="20" t="s">
        <v>30</v>
      </c>
      <c r="O278" s="20" t="s">
        <v>30</v>
      </c>
      <c r="P278" s="20" t="s">
        <v>30</v>
      </c>
      <c r="Q278" s="21">
        <v>46255</v>
      </c>
      <c r="R278" s="21">
        <v>46255</v>
      </c>
      <c r="S278" s="20" t="s">
        <v>56</v>
      </c>
      <c r="T278" s="18" t="s">
        <v>30</v>
      </c>
      <c r="U278" s="18" t="s">
        <v>30</v>
      </c>
    </row>
    <row r="279" spans="1:21" ht="33.6" customHeight="1" thickTop="1" thickBot="1">
      <c r="A279" s="18" t="str">
        <f t="shared" si="4"/>
        <v>agosto</v>
      </c>
      <c r="B279" s="18" t="s">
        <v>1408</v>
      </c>
      <c r="E279" s="18" t="s">
        <v>1482</v>
      </c>
      <c r="F279" s="18" t="s">
        <v>1483</v>
      </c>
      <c r="G279" s="19" t="s">
        <v>1484</v>
      </c>
      <c r="H279" s="18" t="s">
        <v>37</v>
      </c>
      <c r="I279" s="18" t="s">
        <v>1485</v>
      </c>
      <c r="J279" s="18" t="s">
        <v>60</v>
      </c>
      <c r="K279" s="20" t="s">
        <v>34</v>
      </c>
      <c r="L279" s="20">
        <v>1502</v>
      </c>
      <c r="M279" s="20" t="s">
        <v>1486</v>
      </c>
      <c r="N279" s="20" t="s">
        <v>30</v>
      </c>
      <c r="O279" s="20" t="s">
        <v>30</v>
      </c>
      <c r="P279" s="20" t="s">
        <v>30</v>
      </c>
      <c r="Q279" s="21">
        <v>46255</v>
      </c>
      <c r="R279" s="21">
        <v>46255</v>
      </c>
      <c r="S279" s="20" t="s">
        <v>56</v>
      </c>
      <c r="T279" s="18" t="s">
        <v>30</v>
      </c>
      <c r="U279" s="18" t="s">
        <v>30</v>
      </c>
    </row>
    <row r="280" spans="1:21" ht="33.6" customHeight="1" thickTop="1" thickBot="1">
      <c r="A280" s="18" t="str">
        <f t="shared" si="4"/>
        <v>agosto</v>
      </c>
      <c r="B280" s="18" t="s">
        <v>1409</v>
      </c>
      <c r="C280" s="7" t="s">
        <v>9</v>
      </c>
      <c r="D280" s="7" t="s">
        <v>10</v>
      </c>
      <c r="E280" s="18" t="s">
        <v>1487</v>
      </c>
      <c r="F280" s="18" t="s">
        <v>1488</v>
      </c>
      <c r="G280" s="19" t="s">
        <v>1489</v>
      </c>
      <c r="H280" s="18" t="s">
        <v>46</v>
      </c>
      <c r="I280" s="18" t="s">
        <v>1490</v>
      </c>
      <c r="J280" s="18" t="s">
        <v>45</v>
      </c>
      <c r="K280" s="20" t="s">
        <v>43</v>
      </c>
      <c r="L280" s="20">
        <v>1502</v>
      </c>
      <c r="M280" s="20" t="s">
        <v>1491</v>
      </c>
      <c r="N280" s="20">
        <v>16</v>
      </c>
      <c r="O280" s="20" t="s">
        <v>30</v>
      </c>
      <c r="P280" s="20" t="s">
        <v>30</v>
      </c>
      <c r="Q280" s="21">
        <v>46255</v>
      </c>
      <c r="R280" s="21">
        <v>46255</v>
      </c>
      <c r="S280" s="20" t="s">
        <v>41</v>
      </c>
      <c r="T280" s="18" t="s">
        <v>42</v>
      </c>
      <c r="U280" s="18" t="s">
        <v>1113</v>
      </c>
    </row>
    <row r="281" spans="1:21" ht="33.6" customHeight="1" thickTop="1" thickBot="1">
      <c r="A281" s="18" t="str">
        <f t="shared" si="4"/>
        <v>agosto</v>
      </c>
      <c r="B281" s="18" t="s">
        <v>1410</v>
      </c>
      <c r="E281" s="18" t="s">
        <v>1492</v>
      </c>
      <c r="F281" s="18" t="s">
        <v>1493</v>
      </c>
      <c r="G281" s="19" t="s">
        <v>1494</v>
      </c>
      <c r="H281" s="18" t="s">
        <v>32</v>
      </c>
      <c r="I281" s="18" t="s">
        <v>1495</v>
      </c>
      <c r="J281" s="18" t="s">
        <v>33</v>
      </c>
      <c r="K281" s="20" t="s">
        <v>34</v>
      </c>
      <c r="L281" s="20">
        <v>1502</v>
      </c>
      <c r="M281" s="20" t="s">
        <v>1496</v>
      </c>
      <c r="N281" s="20" t="s">
        <v>30</v>
      </c>
      <c r="O281" s="20" t="s">
        <v>30</v>
      </c>
      <c r="P281" s="20" t="s">
        <v>30</v>
      </c>
      <c r="Q281" s="21">
        <v>46255</v>
      </c>
      <c r="R281" s="21">
        <v>46255</v>
      </c>
      <c r="S281" s="20" t="s">
        <v>56</v>
      </c>
      <c r="T281" s="18" t="s">
        <v>30</v>
      </c>
      <c r="U281" s="18" t="s">
        <v>30</v>
      </c>
    </row>
    <row r="282" spans="1:21" ht="33.6" customHeight="1" thickTop="1" thickBot="1">
      <c r="A282" s="18" t="str">
        <f t="shared" si="4"/>
        <v>agosto</v>
      </c>
      <c r="B282" s="18" t="s">
        <v>1411</v>
      </c>
      <c r="E282" s="18" t="s">
        <v>1497</v>
      </c>
      <c r="F282" s="18" t="s">
        <v>1498</v>
      </c>
      <c r="G282" s="19" t="s">
        <v>1499</v>
      </c>
      <c r="H282" s="18" t="s">
        <v>40</v>
      </c>
      <c r="I282" s="18" t="s">
        <v>1500</v>
      </c>
      <c r="J282" s="18" t="s">
        <v>38</v>
      </c>
      <c r="K282" s="20" t="s">
        <v>34</v>
      </c>
      <c r="L282" s="20">
        <v>1502</v>
      </c>
      <c r="M282" s="20" t="s">
        <v>1501</v>
      </c>
      <c r="N282" s="20" t="s">
        <v>30</v>
      </c>
      <c r="O282" s="20" t="s">
        <v>30</v>
      </c>
      <c r="P282" s="20" t="s">
        <v>30</v>
      </c>
      <c r="Q282" s="21">
        <v>46255</v>
      </c>
      <c r="R282" s="21">
        <v>46255</v>
      </c>
      <c r="S282" s="20" t="s">
        <v>56</v>
      </c>
      <c r="T282" s="18" t="s">
        <v>30</v>
      </c>
      <c r="U282" s="18" t="s">
        <v>30</v>
      </c>
    </row>
    <row r="283" spans="1:21" ht="33.6" customHeight="1" thickTop="1" thickBot="1">
      <c r="A283" s="18" t="str">
        <f t="shared" si="4"/>
        <v>agosto</v>
      </c>
      <c r="B283" s="18" t="s">
        <v>1277</v>
      </c>
      <c r="C283" s="7" t="s">
        <v>7</v>
      </c>
      <c r="D283" s="7" t="s">
        <v>8</v>
      </c>
      <c r="E283" s="18" t="s">
        <v>1297</v>
      </c>
      <c r="F283" s="18" t="s">
        <v>1298</v>
      </c>
      <c r="G283" s="19" t="s">
        <v>1299</v>
      </c>
      <c r="H283" s="18" t="s">
        <v>37</v>
      </c>
      <c r="I283" s="18" t="s">
        <v>1300</v>
      </c>
      <c r="J283" s="18" t="s">
        <v>59</v>
      </c>
      <c r="K283" s="20" t="s">
        <v>34</v>
      </c>
      <c r="L283" s="20">
        <v>1501</v>
      </c>
      <c r="M283" s="20" t="s">
        <v>1301</v>
      </c>
      <c r="N283" s="20" t="s">
        <v>30</v>
      </c>
      <c r="O283" s="20" t="s">
        <v>30</v>
      </c>
      <c r="P283" s="20" t="s">
        <v>30</v>
      </c>
      <c r="Q283" s="21">
        <v>46252</v>
      </c>
      <c r="R283" s="21">
        <v>46254</v>
      </c>
      <c r="S283" s="20" t="s">
        <v>35</v>
      </c>
      <c r="T283" s="18" t="s">
        <v>31</v>
      </c>
      <c r="U283" s="18" t="s">
        <v>30</v>
      </c>
    </row>
    <row r="284" spans="1:21" ht="33.6" customHeight="1" thickTop="1" thickBot="1">
      <c r="A284" s="18" t="str">
        <f t="shared" si="4"/>
        <v>agosto</v>
      </c>
      <c r="B284" s="18" t="s">
        <v>1045</v>
      </c>
      <c r="C284" s="7" t="s">
        <v>7</v>
      </c>
      <c r="D284" s="7" t="s">
        <v>8</v>
      </c>
      <c r="E284" s="18" t="s">
        <v>1072</v>
      </c>
      <c r="F284" s="18" t="s">
        <v>1073</v>
      </c>
      <c r="G284" s="19" t="s">
        <v>1074</v>
      </c>
      <c r="H284" s="18" t="s">
        <v>46</v>
      </c>
      <c r="I284" s="18" t="s">
        <v>100</v>
      </c>
      <c r="J284" s="18" t="s">
        <v>51</v>
      </c>
      <c r="K284" s="20" t="s">
        <v>34</v>
      </c>
      <c r="L284" s="20">
        <v>1502</v>
      </c>
      <c r="M284" s="20" t="s">
        <v>1514</v>
      </c>
      <c r="N284" s="20" t="s">
        <v>30</v>
      </c>
      <c r="O284" s="20" t="s">
        <v>30</v>
      </c>
      <c r="P284" s="20" t="s">
        <v>30</v>
      </c>
      <c r="Q284" s="21">
        <v>46248</v>
      </c>
      <c r="R284" s="21">
        <v>46256</v>
      </c>
      <c r="S284" s="20" t="s">
        <v>49</v>
      </c>
      <c r="T284" s="18" t="s">
        <v>31</v>
      </c>
      <c r="U284" s="18" t="s">
        <v>30</v>
      </c>
    </row>
    <row r="285" spans="1:21" ht="33.6" customHeight="1" thickTop="1" thickBot="1">
      <c r="A285" s="18" t="str">
        <f t="shared" si="4"/>
        <v>agosto</v>
      </c>
      <c r="B285" s="18" t="s">
        <v>1117</v>
      </c>
      <c r="C285" s="7" t="s">
        <v>7</v>
      </c>
      <c r="D285" s="7" t="s">
        <v>8</v>
      </c>
      <c r="E285" s="18" t="s">
        <v>1137</v>
      </c>
      <c r="F285" s="18" t="s">
        <v>1138</v>
      </c>
      <c r="G285" s="19" t="s">
        <v>1139</v>
      </c>
      <c r="H285" s="18" t="s">
        <v>46</v>
      </c>
      <c r="I285" s="18" t="s">
        <v>1140</v>
      </c>
      <c r="J285" s="18" t="s">
        <v>62</v>
      </c>
      <c r="K285" s="20" t="s">
        <v>39</v>
      </c>
      <c r="L285" s="20">
        <v>1502</v>
      </c>
      <c r="M285" s="20" t="s">
        <v>1515</v>
      </c>
      <c r="N285" s="20" t="s">
        <v>30</v>
      </c>
      <c r="O285" s="20" t="s">
        <v>30</v>
      </c>
      <c r="P285" s="20" t="s">
        <v>30</v>
      </c>
      <c r="Q285" s="21">
        <v>46248</v>
      </c>
      <c r="R285" s="21">
        <v>46256</v>
      </c>
      <c r="S285" s="20" t="s">
        <v>52</v>
      </c>
      <c r="T285" s="18" t="s">
        <v>31</v>
      </c>
      <c r="U285" s="18" t="s">
        <v>30</v>
      </c>
    </row>
    <row r="286" spans="1:21" ht="33.6" customHeight="1" thickTop="1" thickBot="1">
      <c r="A286" s="18" t="str">
        <f t="shared" si="4"/>
        <v>agosto</v>
      </c>
      <c r="B286" s="18" t="s">
        <v>1502</v>
      </c>
      <c r="C286" s="7" t="s">
        <v>7</v>
      </c>
      <c r="D286" s="7" t="s">
        <v>8</v>
      </c>
      <c r="E286" s="18" t="s">
        <v>1516</v>
      </c>
      <c r="F286" s="18" t="s">
        <v>1517</v>
      </c>
      <c r="G286" s="19" t="s">
        <v>1518</v>
      </c>
      <c r="H286" s="18" t="s">
        <v>37</v>
      </c>
      <c r="I286" s="18" t="s">
        <v>1519</v>
      </c>
      <c r="J286" s="18" t="s">
        <v>59</v>
      </c>
      <c r="K286" s="20" t="s">
        <v>34</v>
      </c>
      <c r="L286" s="20">
        <v>1502</v>
      </c>
      <c r="M286" s="20" t="s">
        <v>1520</v>
      </c>
      <c r="N286" s="20" t="s">
        <v>30</v>
      </c>
      <c r="O286" s="20" t="s">
        <v>30</v>
      </c>
      <c r="P286" s="20" t="s">
        <v>30</v>
      </c>
      <c r="Q286" s="21">
        <v>46254</v>
      </c>
      <c r="R286" s="21">
        <v>46256</v>
      </c>
      <c r="S286" s="20" t="s">
        <v>49</v>
      </c>
      <c r="T286" s="18" t="s">
        <v>31</v>
      </c>
      <c r="U286" s="18" t="s">
        <v>30</v>
      </c>
    </row>
    <row r="287" spans="1:21" ht="33.6" customHeight="1" thickTop="1" thickBot="1">
      <c r="A287" s="18" t="str">
        <f t="shared" si="4"/>
        <v>agosto</v>
      </c>
      <c r="B287" s="18" t="s">
        <v>1290</v>
      </c>
      <c r="C287" s="7" t="s">
        <v>7</v>
      </c>
      <c r="D287" s="7" t="s">
        <v>8</v>
      </c>
      <c r="E287" s="18" t="s">
        <v>1361</v>
      </c>
      <c r="F287" s="18" t="s">
        <v>1362</v>
      </c>
      <c r="G287" s="19" t="s">
        <v>1363</v>
      </c>
      <c r="H287" s="18" t="s">
        <v>37</v>
      </c>
      <c r="I287" s="18" t="s">
        <v>1364</v>
      </c>
      <c r="J287" s="18" t="s">
        <v>55</v>
      </c>
      <c r="K287" s="20" t="s">
        <v>43</v>
      </c>
      <c r="L287" s="20">
        <v>1501</v>
      </c>
      <c r="M287" s="20" t="s">
        <v>1521</v>
      </c>
      <c r="N287" s="20">
        <v>20</v>
      </c>
      <c r="O287" s="20" t="s">
        <v>30</v>
      </c>
      <c r="P287" s="20" t="s">
        <v>30</v>
      </c>
      <c r="Q287" s="21">
        <v>46253</v>
      </c>
      <c r="R287" s="21">
        <v>46256</v>
      </c>
      <c r="S287" s="20" t="s">
        <v>53</v>
      </c>
      <c r="T287" s="18" t="s">
        <v>31</v>
      </c>
      <c r="U287" s="18" t="s">
        <v>1113</v>
      </c>
    </row>
    <row r="288" spans="1:21" ht="33.6" customHeight="1" thickTop="1" thickBot="1">
      <c r="A288" s="18" t="str">
        <f t="shared" si="4"/>
        <v>agosto</v>
      </c>
      <c r="B288" s="18" t="s">
        <v>1503</v>
      </c>
      <c r="C288" s="7" t="s">
        <v>7</v>
      </c>
      <c r="D288" s="7" t="s">
        <v>8</v>
      </c>
      <c r="E288" s="18" t="s">
        <v>1522</v>
      </c>
      <c r="F288" s="18" t="s">
        <v>1523</v>
      </c>
      <c r="G288" s="19" t="s">
        <v>1524</v>
      </c>
      <c r="H288" s="18" t="s">
        <v>32</v>
      </c>
      <c r="I288" s="18" t="s">
        <v>1525</v>
      </c>
      <c r="J288" s="18" t="s">
        <v>33</v>
      </c>
      <c r="K288" s="20" t="s">
        <v>43</v>
      </c>
      <c r="L288" s="20">
        <v>1502</v>
      </c>
      <c r="M288" s="20" t="s">
        <v>1526</v>
      </c>
      <c r="N288" s="20">
        <v>70</v>
      </c>
      <c r="O288" s="20" t="s">
        <v>30</v>
      </c>
      <c r="P288" s="20" t="s">
        <v>30</v>
      </c>
      <c r="Q288" s="21">
        <v>46254</v>
      </c>
      <c r="R288" s="21">
        <v>46256</v>
      </c>
      <c r="S288" s="20" t="s">
        <v>35</v>
      </c>
      <c r="T288" s="18" t="s">
        <v>31</v>
      </c>
      <c r="U288" s="18" t="s">
        <v>1114</v>
      </c>
    </row>
    <row r="289" spans="1:21" ht="33.6" customHeight="1" thickTop="1" thickBot="1">
      <c r="A289" s="18" t="str">
        <f t="shared" si="4"/>
        <v>agosto</v>
      </c>
      <c r="B289" s="18" t="s">
        <v>1504</v>
      </c>
      <c r="C289" s="7" t="s">
        <v>7</v>
      </c>
      <c r="D289" s="7" t="s">
        <v>8</v>
      </c>
      <c r="E289" s="18" t="s">
        <v>1527</v>
      </c>
      <c r="F289" s="18" t="s">
        <v>1528</v>
      </c>
      <c r="G289" s="19" t="s">
        <v>1529</v>
      </c>
      <c r="H289" s="18" t="s">
        <v>40</v>
      </c>
      <c r="I289" s="18" t="s">
        <v>61</v>
      </c>
      <c r="J289" s="18" t="s">
        <v>38</v>
      </c>
      <c r="K289" s="20" t="s">
        <v>34</v>
      </c>
      <c r="L289" s="20">
        <v>1502</v>
      </c>
      <c r="M289" s="20" t="s">
        <v>1530</v>
      </c>
      <c r="N289" s="20" t="s">
        <v>30</v>
      </c>
      <c r="O289" s="20" t="s">
        <v>30</v>
      </c>
      <c r="P289" s="20" t="s">
        <v>30</v>
      </c>
      <c r="Q289" s="21">
        <v>46254</v>
      </c>
      <c r="R289" s="21">
        <v>46256</v>
      </c>
      <c r="S289" s="20" t="s">
        <v>49</v>
      </c>
      <c r="T289" s="18" t="s">
        <v>31</v>
      </c>
      <c r="U289" s="18" t="s">
        <v>30</v>
      </c>
    </row>
    <row r="290" spans="1:21" ht="33.6" customHeight="1" thickTop="1" thickBot="1">
      <c r="A290" s="18" t="str">
        <f t="shared" si="4"/>
        <v>agosto</v>
      </c>
      <c r="B290" s="18" t="s">
        <v>1505</v>
      </c>
      <c r="C290" s="7" t="s">
        <v>9</v>
      </c>
      <c r="D290" s="7" t="s">
        <v>10</v>
      </c>
      <c r="E290" s="18" t="s">
        <v>1531</v>
      </c>
      <c r="F290" s="18" t="s">
        <v>1532</v>
      </c>
      <c r="G290" s="19" t="s">
        <v>1533</v>
      </c>
      <c r="H290" s="18" t="s">
        <v>32</v>
      </c>
      <c r="I290" s="18" t="s">
        <v>1534</v>
      </c>
      <c r="J290" s="18" t="s">
        <v>57</v>
      </c>
      <c r="K290" s="20" t="s">
        <v>43</v>
      </c>
      <c r="L290" s="20">
        <v>1502</v>
      </c>
      <c r="M290" s="20" t="s">
        <v>1535</v>
      </c>
      <c r="N290" s="20">
        <v>30</v>
      </c>
      <c r="O290" s="20" t="s">
        <v>30</v>
      </c>
      <c r="P290" s="20" t="s">
        <v>30</v>
      </c>
      <c r="Q290" s="21">
        <v>46255</v>
      </c>
      <c r="R290" s="21">
        <v>46256</v>
      </c>
      <c r="S290" s="20" t="s">
        <v>41</v>
      </c>
      <c r="T290" s="18" t="s">
        <v>42</v>
      </c>
      <c r="U290" s="18" t="s">
        <v>1113</v>
      </c>
    </row>
    <row r="291" spans="1:21" ht="33.6" customHeight="1" thickTop="1" thickBot="1">
      <c r="A291" s="18" t="str">
        <f t="shared" si="4"/>
        <v>agosto</v>
      </c>
      <c r="B291" s="18" t="s">
        <v>1506</v>
      </c>
      <c r="C291" s="7" t="s">
        <v>7</v>
      </c>
      <c r="D291" s="7" t="s">
        <v>8</v>
      </c>
      <c r="E291" s="18" t="s">
        <v>1536</v>
      </c>
      <c r="F291" s="18" t="s">
        <v>1537</v>
      </c>
      <c r="G291" s="19" t="s">
        <v>1538</v>
      </c>
      <c r="H291" s="18" t="s">
        <v>32</v>
      </c>
      <c r="I291" s="18" t="s">
        <v>1539</v>
      </c>
      <c r="J291" s="18" t="s">
        <v>51</v>
      </c>
      <c r="K291" s="20" t="s">
        <v>39</v>
      </c>
      <c r="L291" s="20">
        <v>1501</v>
      </c>
      <c r="M291" s="20" t="s">
        <v>1540</v>
      </c>
      <c r="N291" s="20" t="s">
        <v>30</v>
      </c>
      <c r="O291" s="20" t="s">
        <v>30</v>
      </c>
      <c r="P291" s="20" t="s">
        <v>30</v>
      </c>
      <c r="Q291" s="21">
        <v>46255</v>
      </c>
      <c r="R291" s="21">
        <v>46256</v>
      </c>
      <c r="S291" s="20" t="s">
        <v>53</v>
      </c>
      <c r="T291" s="18" t="s">
        <v>31</v>
      </c>
      <c r="U291" s="18" t="s">
        <v>30</v>
      </c>
    </row>
    <row r="292" spans="1:21" ht="33.6" customHeight="1" thickTop="1" thickBot="1">
      <c r="A292" s="18" t="str">
        <f t="shared" si="4"/>
        <v>agosto</v>
      </c>
      <c r="B292" s="18" t="s">
        <v>1507</v>
      </c>
      <c r="C292" s="7" t="s">
        <v>7</v>
      </c>
      <c r="D292" s="7" t="s">
        <v>8</v>
      </c>
      <c r="E292" s="18" t="s">
        <v>1541</v>
      </c>
      <c r="F292" s="18" t="s">
        <v>1542</v>
      </c>
      <c r="G292" s="19" t="s">
        <v>1543</v>
      </c>
      <c r="H292" s="18" t="s">
        <v>32</v>
      </c>
      <c r="I292" s="18" t="s">
        <v>1544</v>
      </c>
      <c r="J292" s="18" t="s">
        <v>57</v>
      </c>
      <c r="K292" s="20" t="s">
        <v>43</v>
      </c>
      <c r="L292" s="20">
        <v>1501</v>
      </c>
      <c r="M292" s="20" t="s">
        <v>1545</v>
      </c>
      <c r="N292" s="20">
        <v>85</v>
      </c>
      <c r="O292" s="20" t="s">
        <v>30</v>
      </c>
      <c r="P292" s="20" t="s">
        <v>30</v>
      </c>
      <c r="Q292" s="21">
        <v>46255</v>
      </c>
      <c r="R292" s="21">
        <v>46256</v>
      </c>
      <c r="S292" s="20" t="s">
        <v>52</v>
      </c>
      <c r="T292" s="18" t="s">
        <v>31</v>
      </c>
      <c r="U292" s="18" t="s">
        <v>1113</v>
      </c>
    </row>
    <row r="293" spans="1:21" ht="33.6" customHeight="1" thickTop="1" thickBot="1">
      <c r="A293" s="18" t="str">
        <f t="shared" si="4"/>
        <v>agosto</v>
      </c>
      <c r="B293" s="18" t="s">
        <v>1508</v>
      </c>
      <c r="C293" s="7" t="s">
        <v>7</v>
      </c>
      <c r="D293" s="7" t="s">
        <v>8</v>
      </c>
      <c r="E293" s="18" t="s">
        <v>1546</v>
      </c>
      <c r="F293" s="18" t="s">
        <v>1547</v>
      </c>
      <c r="G293" s="19" t="s">
        <v>1548</v>
      </c>
      <c r="H293" s="18" t="s">
        <v>32</v>
      </c>
      <c r="I293" s="18" t="s">
        <v>1549</v>
      </c>
      <c r="J293" s="18" t="s">
        <v>33</v>
      </c>
      <c r="K293" s="20" t="s">
        <v>34</v>
      </c>
      <c r="L293" s="20">
        <v>1502</v>
      </c>
      <c r="M293" s="20" t="s">
        <v>1550</v>
      </c>
      <c r="N293" s="20" t="s">
        <v>30</v>
      </c>
      <c r="O293" s="20" t="s">
        <v>30</v>
      </c>
      <c r="P293" s="20" t="s">
        <v>30</v>
      </c>
      <c r="Q293" s="21">
        <v>46255</v>
      </c>
      <c r="R293" s="21">
        <v>46256</v>
      </c>
      <c r="S293" s="20" t="s">
        <v>35</v>
      </c>
      <c r="T293" s="18" t="s">
        <v>31</v>
      </c>
      <c r="U293" s="18" t="s">
        <v>30</v>
      </c>
    </row>
    <row r="294" spans="1:21" ht="33.6" customHeight="1" thickTop="1" thickBot="1">
      <c r="A294" s="18" t="str">
        <f t="shared" si="4"/>
        <v>agosto</v>
      </c>
      <c r="B294" s="18" t="s">
        <v>1509</v>
      </c>
      <c r="C294" s="7" t="s">
        <v>7</v>
      </c>
      <c r="D294" s="7" t="s">
        <v>8</v>
      </c>
      <c r="E294" s="18" t="s">
        <v>1551</v>
      </c>
      <c r="F294" s="18" t="s">
        <v>1552</v>
      </c>
      <c r="G294" s="19" t="s">
        <v>1553</v>
      </c>
      <c r="H294" s="18" t="s">
        <v>32</v>
      </c>
      <c r="I294" s="18" t="s">
        <v>1554</v>
      </c>
      <c r="J294" s="18" t="s">
        <v>33</v>
      </c>
      <c r="K294" s="20" t="s">
        <v>43</v>
      </c>
      <c r="L294" s="20">
        <v>1502</v>
      </c>
      <c r="M294" s="20" t="s">
        <v>1555</v>
      </c>
      <c r="N294" s="20" t="s">
        <v>30</v>
      </c>
      <c r="O294" s="20" t="s">
        <v>30</v>
      </c>
      <c r="P294" s="20" t="s">
        <v>30</v>
      </c>
      <c r="Q294" s="21">
        <v>46255</v>
      </c>
      <c r="R294" s="21">
        <v>46256</v>
      </c>
      <c r="S294" s="20" t="s">
        <v>35</v>
      </c>
      <c r="T294" s="18" t="s">
        <v>31</v>
      </c>
      <c r="U294" s="18" t="s">
        <v>1114</v>
      </c>
    </row>
    <row r="295" spans="1:21" ht="33.6" customHeight="1" thickTop="1" thickBot="1">
      <c r="A295" s="18" t="str">
        <f t="shared" si="4"/>
        <v>agosto</v>
      </c>
      <c r="B295" s="18" t="s">
        <v>1510</v>
      </c>
      <c r="C295" s="7" t="s">
        <v>9</v>
      </c>
      <c r="D295" s="7" t="s">
        <v>10</v>
      </c>
      <c r="E295" s="18" t="s">
        <v>1556</v>
      </c>
      <c r="F295" s="18" t="s">
        <v>1557</v>
      </c>
      <c r="G295" s="19" t="s">
        <v>1558</v>
      </c>
      <c r="H295" s="18" t="s">
        <v>46</v>
      </c>
      <c r="I295" s="18" t="s">
        <v>1559</v>
      </c>
      <c r="J295" s="18" t="s">
        <v>62</v>
      </c>
      <c r="K295" s="20" t="s">
        <v>43</v>
      </c>
      <c r="L295" s="20">
        <v>1502</v>
      </c>
      <c r="M295" s="20" t="s">
        <v>1560</v>
      </c>
      <c r="N295" s="20">
        <v>21</v>
      </c>
      <c r="O295" s="20" t="s">
        <v>30</v>
      </c>
      <c r="P295" s="20" t="s">
        <v>30</v>
      </c>
      <c r="Q295" s="21">
        <v>46255</v>
      </c>
      <c r="R295" s="21">
        <v>46256</v>
      </c>
      <c r="S295" s="20" t="s">
        <v>41</v>
      </c>
      <c r="T295" s="18" t="s">
        <v>42</v>
      </c>
      <c r="U295" s="18" t="s">
        <v>1113</v>
      </c>
    </row>
    <row r="296" spans="1:21" ht="33.6" customHeight="1" thickTop="1" thickBot="1">
      <c r="A296" s="18" t="str">
        <f t="shared" si="4"/>
        <v>agosto</v>
      </c>
      <c r="B296" s="18" t="s">
        <v>1402</v>
      </c>
      <c r="C296" s="7" t="s">
        <v>7</v>
      </c>
      <c r="D296" s="7" t="s">
        <v>8</v>
      </c>
      <c r="E296" s="18" t="s">
        <v>1453</v>
      </c>
      <c r="F296" s="18" t="s">
        <v>1454</v>
      </c>
      <c r="G296" s="19" t="s">
        <v>1455</v>
      </c>
      <c r="H296" s="18" t="s">
        <v>46</v>
      </c>
      <c r="I296" s="18" t="s">
        <v>1456</v>
      </c>
      <c r="J296" s="18" t="s">
        <v>51</v>
      </c>
      <c r="K296" s="20" t="s">
        <v>34</v>
      </c>
      <c r="L296" s="20">
        <v>1502</v>
      </c>
      <c r="M296" s="20" t="s">
        <v>1561</v>
      </c>
      <c r="N296" s="20" t="s">
        <v>30</v>
      </c>
      <c r="O296" s="20" t="s">
        <v>30</v>
      </c>
      <c r="P296" s="20" t="s">
        <v>30</v>
      </c>
      <c r="Q296" s="21">
        <v>46254</v>
      </c>
      <c r="R296" s="21">
        <v>46256</v>
      </c>
      <c r="S296" s="20" t="s">
        <v>53</v>
      </c>
      <c r="T296" s="18" t="s">
        <v>31</v>
      </c>
      <c r="U296" s="18" t="s">
        <v>30</v>
      </c>
    </row>
    <row r="297" spans="1:21" ht="33.6" customHeight="1" thickTop="1" thickBot="1">
      <c r="A297" s="18" t="str">
        <f t="shared" si="4"/>
        <v>agosto</v>
      </c>
      <c r="B297" s="18" t="s">
        <v>1511</v>
      </c>
      <c r="E297" s="18" t="s">
        <v>1562</v>
      </c>
      <c r="F297" s="18" t="s">
        <v>1563</v>
      </c>
      <c r="G297" s="19" t="s">
        <v>1564</v>
      </c>
      <c r="H297" s="18" t="s">
        <v>37</v>
      </c>
      <c r="I297" s="18" t="s">
        <v>1565</v>
      </c>
      <c r="J297" s="18" t="s">
        <v>55</v>
      </c>
      <c r="K297" s="20" t="s">
        <v>34</v>
      </c>
      <c r="L297" s="20">
        <v>1502</v>
      </c>
      <c r="M297" s="20" t="s">
        <v>1566</v>
      </c>
      <c r="N297" s="20" t="s">
        <v>30</v>
      </c>
      <c r="O297" s="20" t="s">
        <v>30</v>
      </c>
      <c r="P297" s="20" t="s">
        <v>30</v>
      </c>
      <c r="Q297" s="21">
        <v>46256</v>
      </c>
      <c r="R297" s="21">
        <v>46256</v>
      </c>
      <c r="S297" s="20" t="s">
        <v>56</v>
      </c>
      <c r="T297" s="18" t="s">
        <v>30</v>
      </c>
      <c r="U297" s="18" t="s">
        <v>30</v>
      </c>
    </row>
    <row r="298" spans="1:21" ht="33.6" customHeight="1" thickTop="1" thickBot="1">
      <c r="A298" s="18" t="str">
        <f t="shared" si="4"/>
        <v>agosto</v>
      </c>
      <c r="B298" s="18" t="s">
        <v>1512</v>
      </c>
      <c r="E298" s="18" t="s">
        <v>1492</v>
      </c>
      <c r="F298" s="18" t="s">
        <v>1493</v>
      </c>
      <c r="G298" s="19" t="s">
        <v>1494</v>
      </c>
      <c r="H298" s="18" t="s">
        <v>32</v>
      </c>
      <c r="I298" s="18" t="s">
        <v>1567</v>
      </c>
      <c r="J298" s="18" t="s">
        <v>33</v>
      </c>
      <c r="K298" s="20" t="s">
        <v>34</v>
      </c>
      <c r="L298" s="20">
        <v>1502</v>
      </c>
      <c r="M298" s="20" t="s">
        <v>1568</v>
      </c>
      <c r="N298" s="20" t="s">
        <v>30</v>
      </c>
      <c r="O298" s="20" t="s">
        <v>30</v>
      </c>
      <c r="P298" s="20" t="s">
        <v>30</v>
      </c>
      <c r="Q298" s="21">
        <v>46256</v>
      </c>
      <c r="R298" s="21">
        <v>46256</v>
      </c>
      <c r="S298" s="20" t="s">
        <v>56</v>
      </c>
      <c r="T298" s="18" t="s">
        <v>30</v>
      </c>
      <c r="U298" s="18" t="s">
        <v>30</v>
      </c>
    </row>
    <row r="299" spans="1:21" ht="33.6" customHeight="1" thickTop="1" thickBot="1">
      <c r="A299" s="18" t="str">
        <f t="shared" si="4"/>
        <v>agosto</v>
      </c>
      <c r="B299" s="18" t="s">
        <v>1513</v>
      </c>
      <c r="E299" s="18" t="s">
        <v>1569</v>
      </c>
      <c r="F299" s="18" t="s">
        <v>1570</v>
      </c>
      <c r="G299" s="19" t="s">
        <v>1571</v>
      </c>
      <c r="H299" s="18" t="s">
        <v>37</v>
      </c>
      <c r="I299" s="18" t="s">
        <v>1572</v>
      </c>
      <c r="J299" s="18" t="s">
        <v>59</v>
      </c>
      <c r="K299" s="20" t="s">
        <v>34</v>
      </c>
      <c r="L299" s="20">
        <v>1502</v>
      </c>
      <c r="M299" s="20" t="s">
        <v>1573</v>
      </c>
      <c r="N299" s="20" t="s">
        <v>30</v>
      </c>
      <c r="O299" s="20" t="s">
        <v>30</v>
      </c>
      <c r="P299" s="20" t="s">
        <v>30</v>
      </c>
      <c r="Q299" s="21">
        <v>46255</v>
      </c>
      <c r="R299" s="21">
        <v>46256</v>
      </c>
      <c r="S299" s="20" t="s">
        <v>56</v>
      </c>
      <c r="T299" s="18" t="s">
        <v>30</v>
      </c>
      <c r="U299" s="18" t="s">
        <v>30</v>
      </c>
    </row>
    <row r="300" spans="1:21" ht="33.6" customHeight="1" thickTop="1" thickBot="1">
      <c r="A300" s="18" t="str">
        <f t="shared" si="4"/>
        <v>agosto</v>
      </c>
      <c r="B300" s="18" t="s">
        <v>1202</v>
      </c>
      <c r="C300" s="7" t="s">
        <v>7</v>
      </c>
      <c r="D300" s="7" t="s">
        <v>8</v>
      </c>
      <c r="E300" s="18" t="s">
        <v>1238</v>
      </c>
      <c r="F300" s="18" t="s">
        <v>1239</v>
      </c>
      <c r="G300" s="18" t="s">
        <v>1240</v>
      </c>
      <c r="H300" s="19" t="s">
        <v>64</v>
      </c>
      <c r="I300" s="18" t="s">
        <v>1241</v>
      </c>
      <c r="J300" s="18" t="s">
        <v>55</v>
      </c>
      <c r="K300" s="18" t="s">
        <v>63</v>
      </c>
      <c r="L300" s="20">
        <v>1502</v>
      </c>
      <c r="M300" s="20" t="s">
        <v>1586</v>
      </c>
      <c r="N300" s="20" t="s">
        <v>30</v>
      </c>
      <c r="O300" s="20" t="s">
        <v>30</v>
      </c>
      <c r="P300" s="20" t="s">
        <v>30</v>
      </c>
      <c r="Q300" s="21">
        <v>46252</v>
      </c>
      <c r="R300" s="21">
        <v>46258</v>
      </c>
      <c r="S300" s="21" t="s">
        <v>49</v>
      </c>
      <c r="T300" s="18" t="s">
        <v>31</v>
      </c>
      <c r="U300" s="18" t="s">
        <v>30</v>
      </c>
    </row>
    <row r="301" spans="1:21" ht="33.6" customHeight="1" thickTop="1" thickBot="1">
      <c r="A301" s="18" t="str">
        <f t="shared" si="4"/>
        <v>agosto</v>
      </c>
      <c r="B301" s="18" t="s">
        <v>1574</v>
      </c>
      <c r="C301" s="7" t="s">
        <v>7</v>
      </c>
      <c r="D301" s="7" t="s">
        <v>8</v>
      </c>
      <c r="E301" s="18" t="s">
        <v>1587</v>
      </c>
      <c r="F301" s="18" t="s">
        <v>1588</v>
      </c>
      <c r="G301" s="18" t="s">
        <v>1589</v>
      </c>
      <c r="H301" s="19" t="s">
        <v>64</v>
      </c>
      <c r="I301" s="18" t="s">
        <v>1590</v>
      </c>
      <c r="J301" s="18" t="s">
        <v>1591</v>
      </c>
      <c r="K301" s="18" t="s">
        <v>34</v>
      </c>
      <c r="L301" s="20">
        <v>1502</v>
      </c>
      <c r="M301" s="20" t="s">
        <v>1592</v>
      </c>
      <c r="N301" s="20" t="s">
        <v>30</v>
      </c>
      <c r="O301" s="20" t="s">
        <v>30</v>
      </c>
      <c r="P301" s="20" t="s">
        <v>30</v>
      </c>
      <c r="Q301" s="21">
        <v>46254</v>
      </c>
      <c r="R301" s="21">
        <v>46258</v>
      </c>
      <c r="S301" s="21" t="s">
        <v>52</v>
      </c>
      <c r="T301" s="18" t="s">
        <v>31</v>
      </c>
      <c r="U301" s="18" t="s">
        <v>30</v>
      </c>
    </row>
    <row r="302" spans="1:21" ht="33.6" customHeight="1" thickTop="1" thickBot="1">
      <c r="A302" s="18" t="str">
        <f t="shared" si="4"/>
        <v>agosto</v>
      </c>
      <c r="B302" s="18" t="s">
        <v>1575</v>
      </c>
      <c r="C302" s="7" t="s">
        <v>7</v>
      </c>
      <c r="D302" s="7" t="s">
        <v>8</v>
      </c>
      <c r="E302" s="18" t="s">
        <v>1593</v>
      </c>
      <c r="F302" s="18" t="s">
        <v>1594</v>
      </c>
      <c r="G302" s="18" t="s">
        <v>1595</v>
      </c>
      <c r="H302" s="19" t="s">
        <v>32</v>
      </c>
      <c r="I302" s="18" t="s">
        <v>1596</v>
      </c>
      <c r="J302" s="18" t="s">
        <v>51</v>
      </c>
      <c r="K302" s="18" t="s">
        <v>34</v>
      </c>
      <c r="L302" s="20">
        <v>1502</v>
      </c>
      <c r="M302" s="20" t="s">
        <v>1597</v>
      </c>
      <c r="N302" s="20" t="s">
        <v>30</v>
      </c>
      <c r="O302" s="20" t="s">
        <v>30</v>
      </c>
      <c r="P302" s="20" t="s">
        <v>30</v>
      </c>
      <c r="Q302" s="21">
        <v>46255</v>
      </c>
      <c r="R302" s="21">
        <v>46258</v>
      </c>
      <c r="S302" s="21" t="s">
        <v>53</v>
      </c>
      <c r="T302" s="18" t="s">
        <v>31</v>
      </c>
      <c r="U302" s="18" t="s">
        <v>30</v>
      </c>
    </row>
    <row r="303" spans="1:21" ht="33.6" customHeight="1" thickTop="1" thickBot="1">
      <c r="A303" s="18" t="str">
        <f t="shared" si="4"/>
        <v>agosto</v>
      </c>
      <c r="B303" s="18" t="s">
        <v>1576</v>
      </c>
      <c r="C303" s="7" t="s">
        <v>7</v>
      </c>
      <c r="D303" s="7" t="s">
        <v>8</v>
      </c>
      <c r="E303" s="18" t="s">
        <v>1598</v>
      </c>
      <c r="F303" s="18" t="s">
        <v>1599</v>
      </c>
      <c r="G303" s="18" t="s">
        <v>1600</v>
      </c>
      <c r="H303" s="19" t="s">
        <v>32</v>
      </c>
      <c r="I303" s="18" t="s">
        <v>1601</v>
      </c>
      <c r="J303" s="18" t="s">
        <v>33</v>
      </c>
      <c r="K303" s="18" t="s">
        <v>43</v>
      </c>
      <c r="L303" s="20">
        <v>1501</v>
      </c>
      <c r="M303" s="20" t="s">
        <v>1602</v>
      </c>
      <c r="N303" s="20">
        <v>20</v>
      </c>
      <c r="O303" s="20" t="s">
        <v>30</v>
      </c>
      <c r="P303" s="20" t="s">
        <v>30</v>
      </c>
      <c r="Q303" s="21">
        <v>46255</v>
      </c>
      <c r="R303" s="21">
        <v>46258</v>
      </c>
      <c r="S303" s="21" t="s">
        <v>53</v>
      </c>
      <c r="T303" s="18" t="s">
        <v>31</v>
      </c>
      <c r="U303" s="18" t="s">
        <v>1113</v>
      </c>
    </row>
    <row r="304" spans="1:21" ht="33.6" customHeight="1" thickTop="1" thickBot="1">
      <c r="A304" s="18" t="str">
        <f t="shared" si="4"/>
        <v>agosto</v>
      </c>
      <c r="B304" s="18" t="s">
        <v>1577</v>
      </c>
      <c r="C304" s="7" t="s">
        <v>7</v>
      </c>
      <c r="D304" s="7" t="s">
        <v>8</v>
      </c>
      <c r="E304" s="18" t="s">
        <v>1603</v>
      </c>
      <c r="F304" s="18" t="s">
        <v>1604</v>
      </c>
      <c r="G304" s="18" t="s">
        <v>1605</v>
      </c>
      <c r="H304" s="19" t="s">
        <v>46</v>
      </c>
      <c r="I304" s="18" t="s">
        <v>1442</v>
      </c>
      <c r="J304" s="18" t="s">
        <v>45</v>
      </c>
      <c r="K304" s="18" t="s">
        <v>39</v>
      </c>
      <c r="L304" s="20">
        <v>1502</v>
      </c>
      <c r="M304" s="20" t="s">
        <v>1606</v>
      </c>
      <c r="N304" s="20" t="s">
        <v>30</v>
      </c>
      <c r="O304" s="20" t="s">
        <v>30</v>
      </c>
      <c r="P304" s="20" t="s">
        <v>30</v>
      </c>
      <c r="Q304" s="21">
        <v>46255</v>
      </c>
      <c r="R304" s="21">
        <v>46258</v>
      </c>
      <c r="S304" s="21" t="s">
        <v>35</v>
      </c>
      <c r="T304" s="18" t="s">
        <v>31</v>
      </c>
      <c r="U304" s="18" t="s">
        <v>30</v>
      </c>
    </row>
    <row r="305" spans="1:21" ht="33.6" customHeight="1" thickTop="1" thickBot="1">
      <c r="A305" s="18" t="str">
        <f t="shared" si="4"/>
        <v>agosto</v>
      </c>
      <c r="B305" s="18" t="s">
        <v>1578</v>
      </c>
      <c r="C305" s="7" t="s">
        <v>7</v>
      </c>
      <c r="D305" s="7" t="s">
        <v>8</v>
      </c>
      <c r="E305" s="18" t="s">
        <v>1607</v>
      </c>
      <c r="F305" s="18" t="s">
        <v>1608</v>
      </c>
      <c r="G305" s="18" t="s">
        <v>1609</v>
      </c>
      <c r="H305" s="19" t="s">
        <v>32</v>
      </c>
      <c r="I305" s="18" t="s">
        <v>1610</v>
      </c>
      <c r="J305" s="18" t="s">
        <v>33</v>
      </c>
      <c r="K305" s="18" t="s">
        <v>34</v>
      </c>
      <c r="L305" s="20">
        <v>1502</v>
      </c>
      <c r="M305" s="20" t="s">
        <v>1611</v>
      </c>
      <c r="N305" s="20" t="s">
        <v>30</v>
      </c>
      <c r="O305" s="20" t="s">
        <v>30</v>
      </c>
      <c r="P305" s="20" t="s">
        <v>30</v>
      </c>
      <c r="Q305" s="21">
        <v>46255</v>
      </c>
      <c r="R305" s="21">
        <v>46258</v>
      </c>
      <c r="S305" s="21" t="s">
        <v>53</v>
      </c>
      <c r="T305" s="18" t="s">
        <v>31</v>
      </c>
      <c r="U305" s="18" t="s">
        <v>30</v>
      </c>
    </row>
    <row r="306" spans="1:21" ht="33.6" customHeight="1" thickTop="1" thickBot="1">
      <c r="A306" s="18" t="str">
        <f t="shared" si="4"/>
        <v>agosto</v>
      </c>
      <c r="B306" s="18" t="s">
        <v>1579</v>
      </c>
      <c r="C306" s="7" t="s">
        <v>7</v>
      </c>
      <c r="D306" s="7" t="s">
        <v>8</v>
      </c>
      <c r="E306" s="18" t="s">
        <v>1612</v>
      </c>
      <c r="F306" s="18" t="s">
        <v>1613</v>
      </c>
      <c r="G306" s="18" t="s">
        <v>1614</v>
      </c>
      <c r="H306" s="19" t="s">
        <v>46</v>
      </c>
      <c r="I306" s="18" t="s">
        <v>1615</v>
      </c>
      <c r="J306" s="18" t="s">
        <v>62</v>
      </c>
      <c r="K306" s="18" t="s">
        <v>34</v>
      </c>
      <c r="L306" s="20">
        <v>1502</v>
      </c>
      <c r="M306" s="20" t="s">
        <v>1616</v>
      </c>
      <c r="N306" s="20" t="s">
        <v>30</v>
      </c>
      <c r="O306" s="20" t="s">
        <v>30</v>
      </c>
      <c r="P306" s="20" t="s">
        <v>30</v>
      </c>
      <c r="Q306" s="21">
        <v>46256</v>
      </c>
      <c r="R306" s="21">
        <v>46258</v>
      </c>
      <c r="S306" s="21" t="s">
        <v>35</v>
      </c>
      <c r="T306" s="18" t="s">
        <v>31</v>
      </c>
      <c r="U306" s="18" t="s">
        <v>30</v>
      </c>
    </row>
    <row r="307" spans="1:21" ht="33.6" customHeight="1" thickTop="1" thickBot="1">
      <c r="A307" s="18" t="str">
        <f t="shared" si="4"/>
        <v>agosto</v>
      </c>
      <c r="B307" s="18" t="s">
        <v>1580</v>
      </c>
      <c r="C307" s="7" t="s">
        <v>7</v>
      </c>
      <c r="D307" s="7" t="s">
        <v>8</v>
      </c>
      <c r="E307" s="18" t="s">
        <v>1617</v>
      </c>
      <c r="F307" s="18" t="s">
        <v>1618</v>
      </c>
      <c r="G307" s="18" t="s">
        <v>1619</v>
      </c>
      <c r="H307" s="19" t="s">
        <v>32</v>
      </c>
      <c r="I307" s="18" t="s">
        <v>1620</v>
      </c>
      <c r="J307" s="18" t="s">
        <v>33</v>
      </c>
      <c r="K307" s="18" t="s">
        <v>43</v>
      </c>
      <c r="L307" s="20">
        <v>1502</v>
      </c>
      <c r="M307" s="20" t="s">
        <v>1621</v>
      </c>
      <c r="N307" s="20">
        <v>50</v>
      </c>
      <c r="O307" s="20" t="s">
        <v>30</v>
      </c>
      <c r="P307" s="20" t="s">
        <v>30</v>
      </c>
      <c r="Q307" s="21">
        <v>46256</v>
      </c>
      <c r="R307" s="21">
        <v>46258</v>
      </c>
      <c r="S307" s="21" t="s">
        <v>52</v>
      </c>
      <c r="T307" s="18" t="s">
        <v>31</v>
      </c>
      <c r="U307" s="18" t="s">
        <v>1113</v>
      </c>
    </row>
    <row r="308" spans="1:21" ht="33.6" customHeight="1" thickTop="1" thickBot="1">
      <c r="A308" s="18" t="str">
        <f t="shared" si="4"/>
        <v>agosto</v>
      </c>
      <c r="B308" s="18" t="s">
        <v>1581</v>
      </c>
      <c r="C308" s="7" t="s">
        <v>9</v>
      </c>
      <c r="D308" s="7" t="s">
        <v>10</v>
      </c>
      <c r="E308" s="18" t="s">
        <v>1622</v>
      </c>
      <c r="F308" s="18" t="s">
        <v>1623</v>
      </c>
      <c r="G308" s="18" t="s">
        <v>1624</v>
      </c>
      <c r="H308" s="19" t="s">
        <v>40</v>
      </c>
      <c r="I308" s="18" t="s">
        <v>1625</v>
      </c>
      <c r="J308" s="18" t="s">
        <v>38</v>
      </c>
      <c r="K308" s="18" t="s">
        <v>43</v>
      </c>
      <c r="L308" s="20">
        <v>1502</v>
      </c>
      <c r="M308" s="20" t="s">
        <v>1626</v>
      </c>
      <c r="N308" s="20">
        <v>18</v>
      </c>
      <c r="O308" s="20" t="s">
        <v>30</v>
      </c>
      <c r="P308" s="20" t="s">
        <v>30</v>
      </c>
      <c r="Q308" s="21">
        <v>46256</v>
      </c>
      <c r="R308" s="21">
        <v>46258</v>
      </c>
      <c r="S308" s="21" t="s">
        <v>41</v>
      </c>
      <c r="T308" s="18" t="s">
        <v>42</v>
      </c>
      <c r="U308" s="18" t="s">
        <v>1113</v>
      </c>
    </row>
    <row r="309" spans="1:21" ht="33.6" customHeight="1" thickTop="1" thickBot="1">
      <c r="A309" s="18" t="str">
        <f t="shared" si="4"/>
        <v>agosto</v>
      </c>
      <c r="B309" s="18" t="s">
        <v>1582</v>
      </c>
      <c r="C309" s="7" t="s">
        <v>7</v>
      </c>
      <c r="D309" s="7" t="s">
        <v>8</v>
      </c>
      <c r="E309" s="18" t="s">
        <v>1627</v>
      </c>
      <c r="F309" s="18" t="s">
        <v>1628</v>
      </c>
      <c r="G309" s="18" t="s">
        <v>1629</v>
      </c>
      <c r="H309" s="19" t="s">
        <v>40</v>
      </c>
      <c r="I309" s="18" t="s">
        <v>1630</v>
      </c>
      <c r="J309" s="18" t="s">
        <v>45</v>
      </c>
      <c r="K309" s="18" t="s">
        <v>39</v>
      </c>
      <c r="L309" s="20">
        <v>1502</v>
      </c>
      <c r="M309" s="20" t="s">
        <v>1631</v>
      </c>
      <c r="N309" s="20" t="s">
        <v>30</v>
      </c>
      <c r="O309" s="20" t="s">
        <v>30</v>
      </c>
      <c r="P309" s="20" t="s">
        <v>30</v>
      </c>
      <c r="Q309" s="21">
        <v>46256</v>
      </c>
      <c r="R309" s="21">
        <v>46258</v>
      </c>
      <c r="S309" s="21" t="s">
        <v>35</v>
      </c>
      <c r="T309" s="18" t="s">
        <v>31</v>
      </c>
      <c r="U309" s="18" t="s">
        <v>30</v>
      </c>
    </row>
    <row r="310" spans="1:21" ht="33.6" customHeight="1" thickTop="1" thickBot="1">
      <c r="A310" s="18" t="str">
        <f t="shared" si="4"/>
        <v>agosto</v>
      </c>
      <c r="B310" s="18" t="s">
        <v>1583</v>
      </c>
      <c r="C310" s="7" t="s">
        <v>7</v>
      </c>
      <c r="D310" s="7" t="s">
        <v>8</v>
      </c>
      <c r="E310" s="18" t="s">
        <v>1632</v>
      </c>
      <c r="F310" s="18" t="s">
        <v>1633</v>
      </c>
      <c r="G310" s="18" t="s">
        <v>1634</v>
      </c>
      <c r="H310" s="19" t="s">
        <v>32</v>
      </c>
      <c r="I310" s="18" t="s">
        <v>1635</v>
      </c>
      <c r="J310" s="18" t="s">
        <v>57</v>
      </c>
      <c r="K310" s="18" t="s">
        <v>43</v>
      </c>
      <c r="L310" s="20">
        <v>1502</v>
      </c>
      <c r="M310" s="20" t="s">
        <v>1636</v>
      </c>
      <c r="N310" s="20">
        <v>40</v>
      </c>
      <c r="O310" s="20" t="s">
        <v>30</v>
      </c>
      <c r="P310" s="20" t="s">
        <v>30</v>
      </c>
      <c r="Q310" s="21">
        <v>46256</v>
      </c>
      <c r="R310" s="21">
        <v>46258</v>
      </c>
      <c r="S310" s="21" t="s">
        <v>35</v>
      </c>
      <c r="T310" s="18" t="s">
        <v>31</v>
      </c>
      <c r="U310" s="18" t="s">
        <v>1113</v>
      </c>
    </row>
    <row r="311" spans="1:21" ht="33.6" customHeight="1" thickTop="1" thickBot="1">
      <c r="A311" s="18" t="str">
        <f t="shared" si="4"/>
        <v>agosto</v>
      </c>
      <c r="B311" s="18" t="s">
        <v>1584</v>
      </c>
      <c r="C311" s="7" t="s">
        <v>7</v>
      </c>
      <c r="D311" s="7" t="s">
        <v>8</v>
      </c>
      <c r="E311" s="18" t="s">
        <v>1637</v>
      </c>
      <c r="F311" s="18" t="s">
        <v>1638</v>
      </c>
      <c r="G311" s="18" t="s">
        <v>1639</v>
      </c>
      <c r="H311" s="19" t="s">
        <v>46</v>
      </c>
      <c r="I311" s="18" t="s">
        <v>1640</v>
      </c>
      <c r="J311" s="18" t="s">
        <v>51</v>
      </c>
      <c r="K311" s="18" t="s">
        <v>43</v>
      </c>
      <c r="L311" s="20">
        <v>1502</v>
      </c>
      <c r="M311" s="20" t="s">
        <v>1641</v>
      </c>
      <c r="N311" s="20">
        <v>40</v>
      </c>
      <c r="O311" s="20" t="s">
        <v>30</v>
      </c>
      <c r="P311" s="20" t="s">
        <v>30</v>
      </c>
      <c r="Q311" s="21">
        <v>46256</v>
      </c>
      <c r="R311" s="21">
        <v>46258</v>
      </c>
      <c r="S311" s="21" t="s">
        <v>49</v>
      </c>
      <c r="T311" s="18" t="s">
        <v>31</v>
      </c>
      <c r="U311" s="18" t="s">
        <v>1113</v>
      </c>
    </row>
    <row r="312" spans="1:21" ht="33.6" customHeight="1" thickTop="1" thickBot="1">
      <c r="A312" s="18" t="str">
        <f t="shared" si="4"/>
        <v>agosto</v>
      </c>
      <c r="B312" s="18" t="s">
        <v>1506</v>
      </c>
      <c r="C312" s="7" t="s">
        <v>7</v>
      </c>
      <c r="D312" s="7" t="s">
        <v>8</v>
      </c>
      <c r="E312" s="18" t="s">
        <v>1536</v>
      </c>
      <c r="F312" s="18" t="s">
        <v>1537</v>
      </c>
      <c r="G312" s="18" t="s">
        <v>1538</v>
      </c>
      <c r="H312" s="19" t="s">
        <v>32</v>
      </c>
      <c r="I312" s="18" t="s">
        <v>1539</v>
      </c>
      <c r="J312" s="18" t="s">
        <v>51</v>
      </c>
      <c r="K312" s="18" t="s">
        <v>39</v>
      </c>
      <c r="L312" s="20">
        <v>1501</v>
      </c>
      <c r="M312" s="20" t="s">
        <v>1642</v>
      </c>
      <c r="N312" s="20" t="s">
        <v>30</v>
      </c>
      <c r="O312" s="20" t="s">
        <v>30</v>
      </c>
      <c r="P312" s="20" t="s">
        <v>30</v>
      </c>
      <c r="Q312" s="21">
        <v>46255</v>
      </c>
      <c r="R312" s="21">
        <v>46258</v>
      </c>
      <c r="S312" s="21" t="s">
        <v>49</v>
      </c>
      <c r="T312" s="18" t="s">
        <v>31</v>
      </c>
      <c r="U312" s="18" t="s">
        <v>30</v>
      </c>
    </row>
    <row r="313" spans="1:21" ht="33.6" customHeight="1" thickTop="1" thickBot="1">
      <c r="A313" s="18" t="str">
        <f t="shared" si="4"/>
        <v>agosto</v>
      </c>
      <c r="B313" s="18" t="s">
        <v>1585</v>
      </c>
      <c r="C313" s="7" t="s">
        <v>9</v>
      </c>
      <c r="D313" s="7" t="s">
        <v>10</v>
      </c>
      <c r="E313" s="18" t="s">
        <v>1643</v>
      </c>
      <c r="F313" s="18" t="s">
        <v>1644</v>
      </c>
      <c r="G313" s="18" t="s">
        <v>1645</v>
      </c>
      <c r="H313" s="19" t="s">
        <v>37</v>
      </c>
      <c r="I313" s="18" t="s">
        <v>1646</v>
      </c>
      <c r="J313" s="18" t="s">
        <v>59</v>
      </c>
      <c r="K313" s="18" t="s">
        <v>43</v>
      </c>
      <c r="L313" s="20">
        <v>1501</v>
      </c>
      <c r="M313" s="20" t="s">
        <v>1647</v>
      </c>
      <c r="N313" s="20">
        <v>38</v>
      </c>
      <c r="O313" s="20" t="s">
        <v>30</v>
      </c>
      <c r="P313" s="20" t="s">
        <v>30</v>
      </c>
      <c r="Q313" s="21">
        <v>46258</v>
      </c>
      <c r="R313" s="21">
        <v>46258</v>
      </c>
      <c r="S313" s="21" t="s">
        <v>41</v>
      </c>
      <c r="T313" s="18" t="s">
        <v>42</v>
      </c>
      <c r="U313" s="18" t="s">
        <v>1113</v>
      </c>
    </row>
    <row r="314" spans="1:21" ht="33.6" customHeight="1" thickTop="1" thickBot="1">
      <c r="A314" s="18" t="str">
        <f t="shared" si="4"/>
        <v>agosto</v>
      </c>
      <c r="B314" s="18" t="s">
        <v>1289</v>
      </c>
      <c r="C314" s="7" t="s">
        <v>7</v>
      </c>
      <c r="D314" s="7" t="s">
        <v>8</v>
      </c>
      <c r="E314" s="18" t="s">
        <v>1356</v>
      </c>
      <c r="F314" s="18" t="s">
        <v>1357</v>
      </c>
      <c r="G314" s="18" t="s">
        <v>1358</v>
      </c>
      <c r="H314" s="19" t="s">
        <v>37</v>
      </c>
      <c r="I314" s="18" t="s">
        <v>1359</v>
      </c>
      <c r="J314" s="18" t="s">
        <v>60</v>
      </c>
      <c r="K314" s="18" t="s">
        <v>43</v>
      </c>
      <c r="L314" s="20">
        <v>1502</v>
      </c>
      <c r="M314" s="20" t="s">
        <v>1672</v>
      </c>
      <c r="N314" s="20">
        <v>70</v>
      </c>
      <c r="O314" s="20" t="s">
        <v>30</v>
      </c>
      <c r="P314" s="20" t="s">
        <v>30</v>
      </c>
      <c r="Q314" s="21">
        <v>46253</v>
      </c>
      <c r="R314" s="21">
        <v>46259</v>
      </c>
      <c r="S314" s="21" t="s">
        <v>35</v>
      </c>
      <c r="T314" s="18" t="s">
        <v>31</v>
      </c>
      <c r="U314" s="18" t="s">
        <v>1113</v>
      </c>
    </row>
    <row r="315" spans="1:21" ht="33.6" customHeight="1" thickTop="1" thickBot="1">
      <c r="A315" s="18" t="str">
        <f t="shared" si="4"/>
        <v>agosto</v>
      </c>
      <c r="B315" s="18" t="s">
        <v>1659</v>
      </c>
      <c r="C315" s="7" t="s">
        <v>7</v>
      </c>
      <c r="D315" s="7" t="s">
        <v>8</v>
      </c>
      <c r="E315" s="18" t="s">
        <v>1673</v>
      </c>
      <c r="F315" s="18" t="s">
        <v>1674</v>
      </c>
      <c r="G315" s="18" t="s">
        <v>1675</v>
      </c>
      <c r="H315" s="19" t="s">
        <v>37</v>
      </c>
      <c r="I315" s="18" t="s">
        <v>1676</v>
      </c>
      <c r="J315" s="18" t="s">
        <v>60</v>
      </c>
      <c r="K315" s="18" t="s">
        <v>43</v>
      </c>
      <c r="L315" s="20">
        <v>1502</v>
      </c>
      <c r="M315" s="20" t="s">
        <v>1677</v>
      </c>
      <c r="N315" s="20" t="s">
        <v>30</v>
      </c>
      <c r="O315" s="20" t="s">
        <v>30</v>
      </c>
      <c r="P315" s="20" t="s">
        <v>30</v>
      </c>
      <c r="Q315" s="21">
        <v>46255</v>
      </c>
      <c r="R315" s="21">
        <v>46259</v>
      </c>
      <c r="S315" s="21" t="s">
        <v>35</v>
      </c>
      <c r="T315" s="18" t="s">
        <v>31</v>
      </c>
      <c r="U315" s="18" t="s">
        <v>1114</v>
      </c>
    </row>
    <row r="316" spans="1:21" ht="33.6" customHeight="1" thickTop="1" thickBot="1">
      <c r="A316" s="18" t="str">
        <f t="shared" si="4"/>
        <v>agosto</v>
      </c>
      <c r="B316" s="18" t="s">
        <v>1660</v>
      </c>
      <c r="C316" s="7" t="s">
        <v>7</v>
      </c>
      <c r="D316" s="7" t="s">
        <v>8</v>
      </c>
      <c r="E316" s="18" t="s">
        <v>1678</v>
      </c>
      <c r="F316" s="18" t="s">
        <v>1679</v>
      </c>
      <c r="G316" s="18" t="s">
        <v>1680</v>
      </c>
      <c r="H316" s="19" t="s">
        <v>32</v>
      </c>
      <c r="I316" s="18" t="s">
        <v>1681</v>
      </c>
      <c r="J316" s="18" t="s">
        <v>51</v>
      </c>
      <c r="K316" s="18" t="s">
        <v>34</v>
      </c>
      <c r="L316" s="20">
        <v>1502</v>
      </c>
      <c r="M316" s="20" t="s">
        <v>1682</v>
      </c>
      <c r="N316" s="20" t="s">
        <v>30</v>
      </c>
      <c r="O316" s="20" t="s">
        <v>30</v>
      </c>
      <c r="P316" s="20" t="s">
        <v>30</v>
      </c>
      <c r="Q316" s="21">
        <v>46256</v>
      </c>
      <c r="R316" s="21">
        <v>46259</v>
      </c>
      <c r="S316" s="21" t="s">
        <v>53</v>
      </c>
      <c r="T316" s="18" t="s">
        <v>31</v>
      </c>
      <c r="U316" s="18" t="s">
        <v>30</v>
      </c>
    </row>
    <row r="317" spans="1:21" ht="33.6" customHeight="1" thickTop="1" thickBot="1">
      <c r="A317" s="18" t="str">
        <f t="shared" si="4"/>
        <v>agosto</v>
      </c>
      <c r="B317" s="18" t="s">
        <v>1661</v>
      </c>
      <c r="C317" s="7" t="s">
        <v>7</v>
      </c>
      <c r="D317" s="7" t="s">
        <v>8</v>
      </c>
      <c r="E317" s="18" t="s">
        <v>1683</v>
      </c>
      <c r="F317" s="18" t="s">
        <v>1684</v>
      </c>
      <c r="G317" s="18" t="s">
        <v>1685</v>
      </c>
      <c r="H317" s="19" t="s">
        <v>37</v>
      </c>
      <c r="I317" s="18" t="s">
        <v>1686</v>
      </c>
      <c r="J317" s="18" t="s">
        <v>59</v>
      </c>
      <c r="K317" s="18" t="s">
        <v>39</v>
      </c>
      <c r="L317" s="20">
        <v>1501</v>
      </c>
      <c r="M317" s="20" t="s">
        <v>1687</v>
      </c>
      <c r="N317" s="20" t="s">
        <v>30</v>
      </c>
      <c r="O317" s="20" t="s">
        <v>30</v>
      </c>
      <c r="P317" s="20" t="s">
        <v>30</v>
      </c>
      <c r="Q317" s="21">
        <v>46256</v>
      </c>
      <c r="R317" s="21">
        <v>46259</v>
      </c>
      <c r="S317" s="21" t="s">
        <v>35</v>
      </c>
      <c r="T317" s="18" t="s">
        <v>31</v>
      </c>
      <c r="U317" s="18" t="s">
        <v>30</v>
      </c>
    </row>
    <row r="318" spans="1:21" ht="33.6" customHeight="1" thickTop="1" thickBot="1">
      <c r="A318" s="18" t="str">
        <f t="shared" si="4"/>
        <v>agosto</v>
      </c>
      <c r="B318" s="18" t="s">
        <v>1662</v>
      </c>
      <c r="C318" s="7" t="s">
        <v>7</v>
      </c>
      <c r="D318" s="7" t="s">
        <v>8</v>
      </c>
      <c r="E318" s="18" t="s">
        <v>1688</v>
      </c>
      <c r="F318" s="18" t="s">
        <v>1689</v>
      </c>
      <c r="G318" s="18" t="s">
        <v>1690</v>
      </c>
      <c r="H318" s="19" t="s">
        <v>32</v>
      </c>
      <c r="I318" s="18" t="s">
        <v>1691</v>
      </c>
      <c r="J318" s="18" t="s">
        <v>57</v>
      </c>
      <c r="K318" s="18" t="s">
        <v>43</v>
      </c>
      <c r="L318" s="20">
        <v>1502</v>
      </c>
      <c r="M318" s="20" t="s">
        <v>1692</v>
      </c>
      <c r="N318" s="20" t="s">
        <v>1693</v>
      </c>
      <c r="O318" s="20" t="s">
        <v>30</v>
      </c>
      <c r="P318" s="20">
        <v>1</v>
      </c>
      <c r="Q318" s="21">
        <v>46256</v>
      </c>
      <c r="R318" s="21">
        <v>46259</v>
      </c>
      <c r="S318" s="21" t="s">
        <v>49</v>
      </c>
      <c r="T318" s="18" t="s">
        <v>31</v>
      </c>
      <c r="U318" s="18" t="s">
        <v>1113</v>
      </c>
    </row>
    <row r="319" spans="1:21" ht="33.6" customHeight="1" thickTop="1" thickBot="1">
      <c r="A319" s="18" t="str">
        <f t="shared" si="4"/>
        <v>agosto</v>
      </c>
      <c r="B319" s="18" t="s">
        <v>1582</v>
      </c>
      <c r="C319" s="7" t="s">
        <v>9</v>
      </c>
      <c r="D319" s="7" t="s">
        <v>10</v>
      </c>
      <c r="E319" s="18" t="s">
        <v>1627</v>
      </c>
      <c r="F319" s="18" t="s">
        <v>1628</v>
      </c>
      <c r="G319" s="18" t="s">
        <v>1629</v>
      </c>
      <c r="H319" s="19" t="s">
        <v>40</v>
      </c>
      <c r="I319" s="18" t="s">
        <v>1630</v>
      </c>
      <c r="J319" s="18" t="s">
        <v>45</v>
      </c>
      <c r="K319" s="18" t="s">
        <v>43</v>
      </c>
      <c r="L319" s="20">
        <v>1502</v>
      </c>
      <c r="M319" s="20" t="s">
        <v>1694</v>
      </c>
      <c r="N319" s="20">
        <v>41</v>
      </c>
      <c r="O319" s="20" t="s">
        <v>30</v>
      </c>
      <c r="P319" s="20" t="s">
        <v>30</v>
      </c>
      <c r="Q319" s="21">
        <v>46256</v>
      </c>
      <c r="R319" s="21">
        <v>46259</v>
      </c>
      <c r="S319" s="21" t="s">
        <v>41</v>
      </c>
      <c r="T319" s="18" t="s">
        <v>42</v>
      </c>
      <c r="U319" s="18" t="s">
        <v>1113</v>
      </c>
    </row>
    <row r="320" spans="1:21" ht="33.6" customHeight="1" thickTop="1" thickBot="1">
      <c r="A320" s="18" t="str">
        <f t="shared" si="4"/>
        <v>agosto</v>
      </c>
      <c r="B320" s="18" t="s">
        <v>1663</v>
      </c>
      <c r="C320" s="7" t="s">
        <v>7</v>
      </c>
      <c r="D320" s="7" t="s">
        <v>8</v>
      </c>
      <c r="E320" s="18" t="s">
        <v>1695</v>
      </c>
      <c r="F320" s="18" t="s">
        <v>1696</v>
      </c>
      <c r="G320" s="18" t="s">
        <v>1697</v>
      </c>
      <c r="H320" s="19" t="s">
        <v>64</v>
      </c>
      <c r="I320" s="18" t="s">
        <v>1698</v>
      </c>
      <c r="J320" s="18" t="s">
        <v>55</v>
      </c>
      <c r="K320" s="18" t="s">
        <v>63</v>
      </c>
      <c r="L320" s="20">
        <v>1502</v>
      </c>
      <c r="M320" s="20" t="s">
        <v>1699</v>
      </c>
      <c r="N320" s="20" t="s">
        <v>30</v>
      </c>
      <c r="O320" s="20" t="s">
        <v>30</v>
      </c>
      <c r="P320" s="20" t="s">
        <v>30</v>
      </c>
      <c r="Q320" s="21">
        <v>46258</v>
      </c>
      <c r="R320" s="21">
        <v>46259</v>
      </c>
      <c r="S320" s="21" t="s">
        <v>53</v>
      </c>
      <c r="T320" s="18" t="s">
        <v>31</v>
      </c>
      <c r="U320" s="18" t="s">
        <v>30</v>
      </c>
    </row>
    <row r="321" spans="1:21" ht="33.6" customHeight="1" thickTop="1" thickBot="1">
      <c r="A321" s="18" t="str">
        <f t="shared" si="4"/>
        <v>agosto</v>
      </c>
      <c r="B321" s="18" t="s">
        <v>1664</v>
      </c>
      <c r="C321" s="7" t="s">
        <v>7</v>
      </c>
      <c r="D321" s="7" t="s">
        <v>8</v>
      </c>
      <c r="E321" s="18" t="s">
        <v>1700</v>
      </c>
      <c r="F321" s="18" t="s">
        <v>1701</v>
      </c>
      <c r="G321" s="18" t="s">
        <v>1702</v>
      </c>
      <c r="H321" s="19" t="s">
        <v>32</v>
      </c>
      <c r="I321" s="18" t="s">
        <v>1703</v>
      </c>
      <c r="J321" s="18" t="s">
        <v>57</v>
      </c>
      <c r="K321" s="18" t="s">
        <v>43</v>
      </c>
      <c r="L321" s="20">
        <v>1502</v>
      </c>
      <c r="M321" s="20" t="s">
        <v>1704</v>
      </c>
      <c r="N321" s="20" t="s">
        <v>1705</v>
      </c>
      <c r="O321" s="20" t="s">
        <v>30</v>
      </c>
      <c r="P321" s="20">
        <v>4</v>
      </c>
      <c r="Q321" s="21">
        <v>46258</v>
      </c>
      <c r="R321" s="21">
        <v>46259</v>
      </c>
      <c r="S321" s="21" t="s">
        <v>49</v>
      </c>
      <c r="T321" s="18" t="s">
        <v>31</v>
      </c>
      <c r="U321" s="18" t="s">
        <v>1113</v>
      </c>
    </row>
    <row r="322" spans="1:21" ht="33.6" customHeight="1" thickTop="1" thickBot="1">
      <c r="A322" s="18" t="str">
        <f t="shared" si="4"/>
        <v>agosto</v>
      </c>
      <c r="B322" s="18" t="s">
        <v>1665</v>
      </c>
      <c r="C322" s="7" t="s">
        <v>7</v>
      </c>
      <c r="D322" s="7" t="s">
        <v>8</v>
      </c>
      <c r="E322" s="18" t="s">
        <v>1706</v>
      </c>
      <c r="F322" s="18" t="s">
        <v>1707</v>
      </c>
      <c r="G322" s="18" t="s">
        <v>1708</v>
      </c>
      <c r="H322" s="19" t="s">
        <v>32</v>
      </c>
      <c r="I322" s="18" t="s">
        <v>1709</v>
      </c>
      <c r="J322" s="18" t="s">
        <v>57</v>
      </c>
      <c r="K322" s="18" t="s">
        <v>43</v>
      </c>
      <c r="L322" s="20">
        <v>1502</v>
      </c>
      <c r="M322" s="20" t="s">
        <v>1710</v>
      </c>
      <c r="N322" s="20">
        <v>40</v>
      </c>
      <c r="O322" s="20" t="s">
        <v>30</v>
      </c>
      <c r="P322" s="20" t="s">
        <v>30</v>
      </c>
      <c r="Q322" s="21">
        <v>46258</v>
      </c>
      <c r="R322" s="21">
        <v>46259</v>
      </c>
      <c r="S322" s="21" t="s">
        <v>49</v>
      </c>
      <c r="T322" s="18" t="s">
        <v>31</v>
      </c>
      <c r="U322" s="18" t="s">
        <v>1113</v>
      </c>
    </row>
    <row r="323" spans="1:21" ht="33.6" customHeight="1" thickTop="1" thickBot="1">
      <c r="A323" s="18" t="str">
        <f t="shared" ref="A323:A386" si="5">TEXT(R323,"MMMM")</f>
        <v>agosto</v>
      </c>
      <c r="B323" s="18" t="s">
        <v>1402</v>
      </c>
      <c r="C323" s="7" t="s">
        <v>7</v>
      </c>
      <c r="D323" s="7" t="s">
        <v>8</v>
      </c>
      <c r="E323" s="18" t="s">
        <v>1453</v>
      </c>
      <c r="F323" s="18" t="s">
        <v>1454</v>
      </c>
      <c r="G323" s="18" t="s">
        <v>1455</v>
      </c>
      <c r="H323" s="19" t="s">
        <v>46</v>
      </c>
      <c r="I323" s="18" t="s">
        <v>1456</v>
      </c>
      <c r="J323" s="18" t="s">
        <v>51</v>
      </c>
      <c r="K323" s="18" t="s">
        <v>43</v>
      </c>
      <c r="L323" s="20">
        <v>1502</v>
      </c>
      <c r="M323" s="20" t="s">
        <v>1711</v>
      </c>
      <c r="N323" s="20">
        <v>50</v>
      </c>
      <c r="O323" s="20" t="s">
        <v>30</v>
      </c>
      <c r="P323" s="20" t="s">
        <v>30</v>
      </c>
      <c r="Q323" s="21">
        <v>46254</v>
      </c>
      <c r="R323" s="21">
        <v>46259</v>
      </c>
      <c r="S323" s="21" t="s">
        <v>52</v>
      </c>
      <c r="T323" s="18" t="s">
        <v>31</v>
      </c>
      <c r="U323" s="18" t="s">
        <v>1113</v>
      </c>
    </row>
    <row r="324" spans="1:21" ht="33.6" customHeight="1" thickTop="1" thickBot="1">
      <c r="A324" s="18" t="str">
        <f t="shared" si="5"/>
        <v>agosto</v>
      </c>
      <c r="B324" s="18" t="s">
        <v>1666</v>
      </c>
      <c r="C324" s="7" t="s">
        <v>7</v>
      </c>
      <c r="D324" s="7" t="s">
        <v>8</v>
      </c>
      <c r="E324" s="18" t="s">
        <v>1712</v>
      </c>
      <c r="F324" s="18" t="s">
        <v>1713</v>
      </c>
      <c r="G324" s="18" t="s">
        <v>1714</v>
      </c>
      <c r="H324" s="19" t="s">
        <v>64</v>
      </c>
      <c r="I324" s="18" t="s">
        <v>1715</v>
      </c>
      <c r="J324" s="18" t="s">
        <v>51</v>
      </c>
      <c r="K324" s="18" t="s">
        <v>39</v>
      </c>
      <c r="L324" s="20">
        <v>1502</v>
      </c>
      <c r="M324" s="20" t="s">
        <v>1716</v>
      </c>
      <c r="N324" s="20" t="s">
        <v>30</v>
      </c>
      <c r="O324" s="20" t="s">
        <v>30</v>
      </c>
      <c r="P324" s="20" t="s">
        <v>30</v>
      </c>
      <c r="Q324" s="21">
        <v>46258</v>
      </c>
      <c r="R324" s="21">
        <v>46259</v>
      </c>
      <c r="S324" s="21" t="s">
        <v>52</v>
      </c>
      <c r="T324" s="18" t="s">
        <v>31</v>
      </c>
      <c r="U324" s="18" t="s">
        <v>30</v>
      </c>
    </row>
    <row r="325" spans="1:21" ht="33.6" customHeight="1" thickTop="1" thickBot="1">
      <c r="A325" s="18" t="str">
        <f t="shared" si="5"/>
        <v>agosto</v>
      </c>
      <c r="B325" s="18" t="s">
        <v>1667</v>
      </c>
      <c r="C325" s="7" t="s">
        <v>9</v>
      </c>
      <c r="D325" s="7" t="s">
        <v>10</v>
      </c>
      <c r="E325" s="18" t="s">
        <v>1717</v>
      </c>
      <c r="F325" s="18" t="s">
        <v>1718</v>
      </c>
      <c r="G325" s="18" t="s">
        <v>1719</v>
      </c>
      <c r="H325" s="19" t="s">
        <v>40</v>
      </c>
      <c r="I325" s="18" t="s">
        <v>1344</v>
      </c>
      <c r="J325" s="18" t="s">
        <v>45</v>
      </c>
      <c r="K325" s="18" t="s">
        <v>43</v>
      </c>
      <c r="L325" s="20">
        <v>1502</v>
      </c>
      <c r="M325" s="20" t="s">
        <v>1720</v>
      </c>
      <c r="N325" s="20">
        <v>17</v>
      </c>
      <c r="O325" s="20" t="s">
        <v>30</v>
      </c>
      <c r="P325" s="20" t="s">
        <v>30</v>
      </c>
      <c r="Q325" s="21">
        <v>46258</v>
      </c>
      <c r="R325" s="21">
        <v>46259</v>
      </c>
      <c r="S325" s="21" t="s">
        <v>41</v>
      </c>
      <c r="T325" s="18" t="s">
        <v>42</v>
      </c>
      <c r="U325" s="18" t="s">
        <v>1113</v>
      </c>
    </row>
    <row r="326" spans="1:21" ht="33.6" customHeight="1" thickTop="1" thickBot="1">
      <c r="A326" s="18" t="str">
        <f t="shared" si="5"/>
        <v>agosto</v>
      </c>
      <c r="B326" s="18" t="s">
        <v>1506</v>
      </c>
      <c r="C326" s="7" t="s">
        <v>7</v>
      </c>
      <c r="D326" s="7" t="s">
        <v>8</v>
      </c>
      <c r="E326" s="18" t="s">
        <v>1536</v>
      </c>
      <c r="F326" s="18" t="s">
        <v>1537</v>
      </c>
      <c r="G326" s="18" t="s">
        <v>1538</v>
      </c>
      <c r="H326" s="19" t="s">
        <v>32</v>
      </c>
      <c r="I326" s="18" t="s">
        <v>1539</v>
      </c>
      <c r="J326" s="18" t="s">
        <v>51</v>
      </c>
      <c r="K326" s="18" t="s">
        <v>43</v>
      </c>
      <c r="L326" s="20">
        <v>1501</v>
      </c>
      <c r="M326" s="20" t="s">
        <v>1721</v>
      </c>
      <c r="N326" s="20" t="s">
        <v>30</v>
      </c>
      <c r="O326" s="20" t="s">
        <v>30</v>
      </c>
      <c r="P326" s="20" t="s">
        <v>30</v>
      </c>
      <c r="Q326" s="21">
        <v>46255</v>
      </c>
      <c r="R326" s="21">
        <v>46259</v>
      </c>
      <c r="S326" s="21" t="s">
        <v>52</v>
      </c>
      <c r="T326" s="18" t="s">
        <v>31</v>
      </c>
      <c r="U326" s="18" t="s">
        <v>1113</v>
      </c>
    </row>
    <row r="327" spans="1:21" ht="33.6" customHeight="1" thickTop="1" thickBot="1">
      <c r="A327" s="18" t="str">
        <f t="shared" si="5"/>
        <v>agosto</v>
      </c>
      <c r="B327" s="18" t="s">
        <v>1668</v>
      </c>
      <c r="E327" s="18" t="s">
        <v>1722</v>
      </c>
      <c r="F327" s="18" t="s">
        <v>1723</v>
      </c>
      <c r="G327" s="18" t="s">
        <v>1724</v>
      </c>
      <c r="H327" s="19" t="s">
        <v>46</v>
      </c>
      <c r="I327" s="18" t="s">
        <v>1725</v>
      </c>
      <c r="J327" s="18" t="s">
        <v>62</v>
      </c>
      <c r="K327" s="18" t="s">
        <v>34</v>
      </c>
      <c r="L327" s="20">
        <v>1502</v>
      </c>
      <c r="M327" s="20" t="s">
        <v>1726</v>
      </c>
      <c r="N327" s="20" t="s">
        <v>30</v>
      </c>
      <c r="O327" s="20" t="s">
        <v>30</v>
      </c>
      <c r="P327" s="20" t="s">
        <v>30</v>
      </c>
      <c r="Q327" s="21">
        <v>46258</v>
      </c>
      <c r="R327" s="21">
        <v>46259</v>
      </c>
      <c r="S327" s="21" t="s">
        <v>56</v>
      </c>
      <c r="T327" s="18" t="s">
        <v>30</v>
      </c>
      <c r="U327" s="18" t="s">
        <v>30</v>
      </c>
    </row>
    <row r="328" spans="1:21" ht="33.6" customHeight="1" thickTop="1" thickBot="1">
      <c r="A328" s="18" t="str">
        <f t="shared" si="5"/>
        <v>agosto</v>
      </c>
      <c r="B328" s="18" t="s">
        <v>1669</v>
      </c>
      <c r="E328" s="18" t="s">
        <v>1727</v>
      </c>
      <c r="F328" s="18" t="s">
        <v>1728</v>
      </c>
      <c r="G328" s="18" t="s">
        <v>1729</v>
      </c>
      <c r="H328" s="19" t="s">
        <v>32</v>
      </c>
      <c r="I328" s="18" t="s">
        <v>1730</v>
      </c>
      <c r="J328" s="18" t="s">
        <v>57</v>
      </c>
      <c r="K328" s="18" t="s">
        <v>34</v>
      </c>
      <c r="L328" s="20">
        <v>1502</v>
      </c>
      <c r="M328" s="20" t="s">
        <v>1731</v>
      </c>
      <c r="N328" s="20" t="s">
        <v>30</v>
      </c>
      <c r="O328" s="20" t="s">
        <v>30</v>
      </c>
      <c r="P328" s="20" t="s">
        <v>30</v>
      </c>
      <c r="Q328" s="21">
        <v>46259</v>
      </c>
      <c r="R328" s="21">
        <v>46259</v>
      </c>
      <c r="S328" s="21" t="s">
        <v>56</v>
      </c>
      <c r="T328" s="18" t="s">
        <v>30</v>
      </c>
      <c r="U328" s="18" t="s">
        <v>30</v>
      </c>
    </row>
    <row r="329" spans="1:21" ht="33.6" customHeight="1" thickTop="1" thickBot="1">
      <c r="A329" s="18" t="str">
        <f t="shared" si="5"/>
        <v>agosto</v>
      </c>
      <c r="B329" s="18" t="s">
        <v>1670</v>
      </c>
      <c r="E329" s="18" t="s">
        <v>1732</v>
      </c>
      <c r="F329" s="18" t="s">
        <v>1733</v>
      </c>
      <c r="G329" s="18" t="s">
        <v>1734</v>
      </c>
      <c r="H329" s="19" t="s">
        <v>37</v>
      </c>
      <c r="I329" s="18" t="s">
        <v>1735</v>
      </c>
      <c r="J329" s="18" t="s">
        <v>59</v>
      </c>
      <c r="K329" s="18" t="s">
        <v>34</v>
      </c>
      <c r="L329" s="20">
        <v>1502</v>
      </c>
      <c r="M329" s="20" t="s">
        <v>1736</v>
      </c>
      <c r="N329" s="20" t="s">
        <v>30</v>
      </c>
      <c r="O329" s="20" t="s">
        <v>30</v>
      </c>
      <c r="P329" s="20" t="s">
        <v>30</v>
      </c>
      <c r="Q329" s="21">
        <v>46259</v>
      </c>
      <c r="R329" s="21">
        <v>46259</v>
      </c>
      <c r="S329" s="21" t="s">
        <v>56</v>
      </c>
      <c r="T329" s="18" t="s">
        <v>30</v>
      </c>
      <c r="U329" s="18" t="s">
        <v>30</v>
      </c>
    </row>
    <row r="330" spans="1:21" ht="33.6" customHeight="1" thickTop="1" thickBot="1">
      <c r="A330" s="18" t="str">
        <f t="shared" si="5"/>
        <v>agosto</v>
      </c>
      <c r="B330" s="18" t="s">
        <v>1671</v>
      </c>
      <c r="E330" s="18" t="s">
        <v>1737</v>
      </c>
      <c r="F330" s="18" t="s">
        <v>1738</v>
      </c>
      <c r="G330" s="18" t="s">
        <v>1739</v>
      </c>
      <c r="H330" s="19" t="s">
        <v>37</v>
      </c>
      <c r="I330" s="18" t="s">
        <v>1740</v>
      </c>
      <c r="J330" s="18" t="s">
        <v>59</v>
      </c>
      <c r="K330" s="18" t="s">
        <v>34</v>
      </c>
      <c r="L330" s="20">
        <v>1502</v>
      </c>
      <c r="M330" s="20" t="s">
        <v>1741</v>
      </c>
      <c r="N330" s="20" t="s">
        <v>30</v>
      </c>
      <c r="O330" s="20" t="s">
        <v>30</v>
      </c>
      <c r="P330" s="20" t="s">
        <v>30</v>
      </c>
      <c r="Q330" s="21">
        <v>46259</v>
      </c>
      <c r="R330" s="21">
        <v>46259</v>
      </c>
      <c r="S330" s="21" t="s">
        <v>56</v>
      </c>
      <c r="T330" s="18" t="s">
        <v>30</v>
      </c>
      <c r="U330" s="18" t="s">
        <v>30</v>
      </c>
    </row>
    <row r="331" spans="1:21" ht="33.6" customHeight="1" thickTop="1" thickBot="1">
      <c r="A331" s="18" t="str">
        <f t="shared" si="5"/>
        <v>agosto</v>
      </c>
      <c r="B331" s="18" t="s">
        <v>1742</v>
      </c>
      <c r="C331" s="7" t="s">
        <v>7</v>
      </c>
      <c r="D331" s="7" t="s">
        <v>8</v>
      </c>
      <c r="E331" s="18" t="s">
        <v>1756</v>
      </c>
      <c r="F331" s="18" t="s">
        <v>1757</v>
      </c>
      <c r="G331" s="18" t="s">
        <v>1758</v>
      </c>
      <c r="H331" s="19" t="s">
        <v>64</v>
      </c>
      <c r="I331" s="18" t="s">
        <v>1698</v>
      </c>
      <c r="J331" s="18" t="s">
        <v>55</v>
      </c>
      <c r="K331" s="18" t="s">
        <v>34</v>
      </c>
      <c r="L331" s="20">
        <v>1502</v>
      </c>
      <c r="M331" s="20" t="s">
        <v>1759</v>
      </c>
      <c r="N331" s="20" t="s">
        <v>30</v>
      </c>
      <c r="O331" s="20" t="s">
        <v>30</v>
      </c>
      <c r="P331" s="20" t="s">
        <v>30</v>
      </c>
      <c r="Q331" s="21">
        <v>46258</v>
      </c>
      <c r="R331" s="21">
        <v>46260</v>
      </c>
      <c r="S331" s="21" t="s">
        <v>53</v>
      </c>
      <c r="T331" s="18" t="s">
        <v>31</v>
      </c>
      <c r="U331" s="18" t="s">
        <v>30</v>
      </c>
    </row>
    <row r="332" spans="1:21" ht="33.6" customHeight="1" thickTop="1" thickBot="1">
      <c r="A332" s="18" t="str">
        <f t="shared" si="5"/>
        <v>agosto</v>
      </c>
      <c r="B332" s="18" t="s">
        <v>1743</v>
      </c>
      <c r="C332" s="7" t="s">
        <v>7</v>
      </c>
      <c r="D332" s="7" t="s">
        <v>8</v>
      </c>
      <c r="E332" s="18" t="s">
        <v>1760</v>
      </c>
      <c r="F332" s="18" t="s">
        <v>1761</v>
      </c>
      <c r="G332" s="18" t="s">
        <v>1762</v>
      </c>
      <c r="H332" s="19" t="s">
        <v>40</v>
      </c>
      <c r="I332" s="18" t="s">
        <v>61</v>
      </c>
      <c r="J332" s="18" t="s">
        <v>38</v>
      </c>
      <c r="K332" s="18" t="s">
        <v>34</v>
      </c>
      <c r="L332" s="20">
        <v>1502</v>
      </c>
      <c r="M332" s="20" t="s">
        <v>1763</v>
      </c>
      <c r="N332" s="20" t="s">
        <v>30</v>
      </c>
      <c r="O332" s="20" t="s">
        <v>30</v>
      </c>
      <c r="P332" s="20" t="s">
        <v>30</v>
      </c>
      <c r="Q332" s="21">
        <v>46258</v>
      </c>
      <c r="R332" s="21">
        <v>46260</v>
      </c>
      <c r="S332" s="21" t="s">
        <v>52</v>
      </c>
      <c r="T332" s="18" t="s">
        <v>31</v>
      </c>
      <c r="U332" s="18" t="s">
        <v>30</v>
      </c>
    </row>
    <row r="333" spans="1:21" ht="33.6" customHeight="1" thickTop="1" thickBot="1">
      <c r="A333" s="18" t="str">
        <f t="shared" si="5"/>
        <v>agosto</v>
      </c>
      <c r="B333" s="18" t="s">
        <v>1744</v>
      </c>
      <c r="C333" s="7" t="s">
        <v>7</v>
      </c>
      <c r="D333" s="7" t="s">
        <v>8</v>
      </c>
      <c r="E333" s="18" t="s">
        <v>1764</v>
      </c>
      <c r="F333" s="18" t="s">
        <v>1765</v>
      </c>
      <c r="G333" s="18" t="s">
        <v>1766</v>
      </c>
      <c r="H333" s="19" t="s">
        <v>32</v>
      </c>
      <c r="I333" s="18" t="s">
        <v>1767</v>
      </c>
      <c r="J333" s="18" t="s">
        <v>33</v>
      </c>
      <c r="K333" s="18" t="s">
        <v>34</v>
      </c>
      <c r="L333" s="20">
        <v>1502</v>
      </c>
      <c r="M333" s="20" t="s">
        <v>1768</v>
      </c>
      <c r="N333" s="20" t="s">
        <v>30</v>
      </c>
      <c r="O333" s="20" t="s">
        <v>30</v>
      </c>
      <c r="P333" s="20" t="s">
        <v>30</v>
      </c>
      <c r="Q333" s="21">
        <v>46258</v>
      </c>
      <c r="R333" s="21">
        <v>46260</v>
      </c>
      <c r="S333" s="21" t="s">
        <v>49</v>
      </c>
      <c r="T333" s="18" t="s">
        <v>31</v>
      </c>
      <c r="U333" s="18" t="s">
        <v>30</v>
      </c>
    </row>
    <row r="334" spans="1:21" ht="33.6" customHeight="1" thickTop="1" thickBot="1">
      <c r="A334" s="18" t="str">
        <f t="shared" si="5"/>
        <v>agosto</v>
      </c>
      <c r="B334" s="18" t="s">
        <v>1745</v>
      </c>
      <c r="C334" s="7" t="s">
        <v>7</v>
      </c>
      <c r="D334" s="7" t="s">
        <v>8</v>
      </c>
      <c r="E334" s="18" t="s">
        <v>1717</v>
      </c>
      <c r="F334" s="18" t="s">
        <v>1718</v>
      </c>
      <c r="G334" s="18" t="s">
        <v>1769</v>
      </c>
      <c r="H334" s="19" t="s">
        <v>32</v>
      </c>
      <c r="I334" s="18" t="s">
        <v>1770</v>
      </c>
      <c r="J334" s="18" t="s">
        <v>50</v>
      </c>
      <c r="K334" s="18" t="s">
        <v>43</v>
      </c>
      <c r="L334" s="20">
        <v>1502</v>
      </c>
      <c r="M334" s="20" t="s">
        <v>1771</v>
      </c>
      <c r="N334" s="20" t="s">
        <v>30</v>
      </c>
      <c r="O334" s="20" t="s">
        <v>30</v>
      </c>
      <c r="P334" s="20" t="s">
        <v>30</v>
      </c>
      <c r="Q334" s="21">
        <v>46258</v>
      </c>
      <c r="R334" s="21">
        <v>46260</v>
      </c>
      <c r="S334" s="21" t="s">
        <v>49</v>
      </c>
      <c r="T334" s="18" t="s">
        <v>31</v>
      </c>
      <c r="U334" s="18" t="s">
        <v>1113</v>
      </c>
    </row>
    <row r="335" spans="1:21" ht="33.6" customHeight="1" thickTop="1" thickBot="1">
      <c r="A335" s="18" t="str">
        <f t="shared" si="5"/>
        <v>agosto</v>
      </c>
      <c r="B335" s="18" t="s">
        <v>1746</v>
      </c>
      <c r="C335" s="7" t="s">
        <v>7</v>
      </c>
      <c r="D335" s="7" t="s">
        <v>8</v>
      </c>
      <c r="E335" s="18" t="s">
        <v>1772</v>
      </c>
      <c r="F335" s="18" t="s">
        <v>1773</v>
      </c>
      <c r="G335" s="18" t="s">
        <v>1774</v>
      </c>
      <c r="H335" s="19" t="s">
        <v>64</v>
      </c>
      <c r="I335" s="18" t="s">
        <v>195</v>
      </c>
      <c r="J335" s="18" t="s">
        <v>55</v>
      </c>
      <c r="K335" s="18" t="s">
        <v>43</v>
      </c>
      <c r="L335" s="20">
        <v>1502</v>
      </c>
      <c r="M335" s="20" t="s">
        <v>1775</v>
      </c>
      <c r="N335" s="20">
        <v>30</v>
      </c>
      <c r="O335" s="20" t="s">
        <v>30</v>
      </c>
      <c r="P335" s="20" t="s">
        <v>30</v>
      </c>
      <c r="Q335" s="21">
        <v>46258</v>
      </c>
      <c r="R335" s="21">
        <v>46260</v>
      </c>
      <c r="S335" s="21" t="s">
        <v>53</v>
      </c>
      <c r="T335" s="18" t="s">
        <v>31</v>
      </c>
      <c r="U335" s="18" t="s">
        <v>1113</v>
      </c>
    </row>
    <row r="336" spans="1:21" ht="33.6" customHeight="1" thickTop="1" thickBot="1">
      <c r="A336" s="18" t="str">
        <f t="shared" si="5"/>
        <v>agosto</v>
      </c>
      <c r="B336" s="18" t="s">
        <v>1747</v>
      </c>
      <c r="C336" s="7" t="s">
        <v>9</v>
      </c>
      <c r="D336" s="7" t="s">
        <v>10</v>
      </c>
      <c r="E336" s="18" t="s">
        <v>1776</v>
      </c>
      <c r="F336" s="18" t="s">
        <v>1777</v>
      </c>
      <c r="G336" s="18" t="s">
        <v>1778</v>
      </c>
      <c r="H336" s="19" t="s">
        <v>40</v>
      </c>
      <c r="I336" s="18" t="s">
        <v>1344</v>
      </c>
      <c r="J336" s="18" t="s">
        <v>38</v>
      </c>
      <c r="K336" s="18" t="s">
        <v>63</v>
      </c>
      <c r="L336" s="20">
        <v>1502</v>
      </c>
      <c r="M336" s="20" t="s">
        <v>1779</v>
      </c>
      <c r="N336" s="20" t="s">
        <v>30</v>
      </c>
      <c r="O336" s="20" t="s">
        <v>30</v>
      </c>
      <c r="P336" s="20" t="s">
        <v>30</v>
      </c>
      <c r="Q336" s="21">
        <v>46259</v>
      </c>
      <c r="R336" s="21">
        <v>46260</v>
      </c>
      <c r="S336" s="21" t="s">
        <v>41</v>
      </c>
      <c r="T336" s="18" t="s">
        <v>42</v>
      </c>
      <c r="U336" s="18" t="s">
        <v>30</v>
      </c>
    </row>
    <row r="337" spans="1:21" ht="33.6" customHeight="1" thickTop="1" thickBot="1">
      <c r="A337" s="18" t="str">
        <f t="shared" si="5"/>
        <v>agosto</v>
      </c>
      <c r="B337" s="18" t="s">
        <v>1286</v>
      </c>
      <c r="C337" s="7" t="s">
        <v>9</v>
      </c>
      <c r="D337" s="7" t="s">
        <v>10</v>
      </c>
      <c r="E337" s="18" t="s">
        <v>1341</v>
      </c>
      <c r="F337" s="18" t="s">
        <v>1342</v>
      </c>
      <c r="G337" s="18" t="s">
        <v>1343</v>
      </c>
      <c r="H337" s="19" t="s">
        <v>40</v>
      </c>
      <c r="I337" s="18" t="s">
        <v>1344</v>
      </c>
      <c r="J337" s="18" t="s">
        <v>38</v>
      </c>
      <c r="K337" s="18" t="s">
        <v>43</v>
      </c>
      <c r="L337" s="20">
        <v>1502</v>
      </c>
      <c r="M337" s="20" t="s">
        <v>1780</v>
      </c>
      <c r="N337" s="20">
        <v>17</v>
      </c>
      <c r="O337" s="20" t="s">
        <v>30</v>
      </c>
      <c r="P337" s="20" t="s">
        <v>30</v>
      </c>
      <c r="Q337" s="21">
        <v>46259</v>
      </c>
      <c r="R337" s="21">
        <v>46260</v>
      </c>
      <c r="S337" s="21" t="s">
        <v>41</v>
      </c>
      <c r="T337" s="18" t="s">
        <v>42</v>
      </c>
      <c r="U337" s="18" t="s">
        <v>1113</v>
      </c>
    </row>
    <row r="338" spans="1:21" ht="33.6" customHeight="1" thickTop="1" thickBot="1">
      <c r="A338" s="18" t="str">
        <f t="shared" si="5"/>
        <v>agosto</v>
      </c>
      <c r="B338" s="18" t="s">
        <v>1748</v>
      </c>
      <c r="C338" s="7" t="s">
        <v>7</v>
      </c>
      <c r="D338" s="7" t="s">
        <v>8</v>
      </c>
      <c r="E338" s="18" t="s">
        <v>1781</v>
      </c>
      <c r="F338" s="18" t="s">
        <v>1782</v>
      </c>
      <c r="G338" s="18" t="s">
        <v>1783</v>
      </c>
      <c r="H338" s="19" t="s">
        <v>64</v>
      </c>
      <c r="I338" s="18" t="s">
        <v>1784</v>
      </c>
      <c r="J338" s="18" t="s">
        <v>55</v>
      </c>
      <c r="K338" s="18" t="s">
        <v>39</v>
      </c>
      <c r="L338" s="20">
        <v>1502</v>
      </c>
      <c r="M338" s="20" t="s">
        <v>1785</v>
      </c>
      <c r="N338" s="20" t="s">
        <v>30</v>
      </c>
      <c r="O338" s="20" t="s">
        <v>30</v>
      </c>
      <c r="P338" s="20" t="s">
        <v>30</v>
      </c>
      <c r="Q338" s="21">
        <v>46259</v>
      </c>
      <c r="R338" s="21">
        <v>46260</v>
      </c>
      <c r="S338" s="21" t="s">
        <v>53</v>
      </c>
      <c r="T338" s="18" t="s">
        <v>31</v>
      </c>
      <c r="U338" s="18" t="s">
        <v>30</v>
      </c>
    </row>
    <row r="339" spans="1:21" ht="33.6" customHeight="1" thickTop="1" thickBot="1">
      <c r="A339" s="18" t="str">
        <f t="shared" si="5"/>
        <v>agosto</v>
      </c>
      <c r="B339" s="18" t="s">
        <v>1749</v>
      </c>
      <c r="C339" s="7" t="s">
        <v>7</v>
      </c>
      <c r="D339" s="7" t="s">
        <v>8</v>
      </c>
      <c r="E339" s="18" t="s">
        <v>1786</v>
      </c>
      <c r="F339" s="18" t="s">
        <v>1787</v>
      </c>
      <c r="G339" s="18" t="s">
        <v>1788</v>
      </c>
      <c r="H339" s="19" t="s">
        <v>40</v>
      </c>
      <c r="I339" s="18" t="s">
        <v>1789</v>
      </c>
      <c r="J339" s="18" t="s">
        <v>45</v>
      </c>
      <c r="K339" s="18" t="s">
        <v>43</v>
      </c>
      <c r="L339" s="20">
        <v>1502</v>
      </c>
      <c r="M339" s="20" t="s">
        <v>1790</v>
      </c>
      <c r="N339" s="20">
        <v>140</v>
      </c>
      <c r="O339" s="20" t="s">
        <v>30</v>
      </c>
      <c r="P339" s="20" t="s">
        <v>30</v>
      </c>
      <c r="Q339" s="21">
        <v>46259</v>
      </c>
      <c r="R339" s="21">
        <v>46260</v>
      </c>
      <c r="S339" s="21" t="s">
        <v>35</v>
      </c>
      <c r="T339" s="18" t="s">
        <v>31</v>
      </c>
      <c r="U339" s="18" t="s">
        <v>1113</v>
      </c>
    </row>
    <row r="340" spans="1:21" ht="33.6" customHeight="1" thickTop="1" thickBot="1">
      <c r="A340" s="18" t="str">
        <f t="shared" si="5"/>
        <v>agosto</v>
      </c>
      <c r="B340" s="18" t="s">
        <v>1750</v>
      </c>
      <c r="C340" s="7" t="s">
        <v>7</v>
      </c>
      <c r="D340" s="7" t="s">
        <v>8</v>
      </c>
      <c r="E340" s="18" t="s">
        <v>1791</v>
      </c>
      <c r="F340" s="18" t="s">
        <v>1792</v>
      </c>
      <c r="G340" s="18" t="s">
        <v>1793</v>
      </c>
      <c r="H340" s="19" t="s">
        <v>46</v>
      </c>
      <c r="I340" s="18" t="s">
        <v>1794</v>
      </c>
      <c r="J340" s="18" t="s">
        <v>45</v>
      </c>
      <c r="K340" s="18" t="s">
        <v>43</v>
      </c>
      <c r="L340" s="20">
        <v>1502</v>
      </c>
      <c r="M340" s="20" t="s">
        <v>1795</v>
      </c>
      <c r="N340" s="20">
        <v>30</v>
      </c>
      <c r="O340" s="20" t="s">
        <v>30</v>
      </c>
      <c r="P340" s="20" t="s">
        <v>30</v>
      </c>
      <c r="Q340" s="21">
        <v>46259</v>
      </c>
      <c r="R340" s="21">
        <v>46260</v>
      </c>
      <c r="S340" s="21" t="s">
        <v>35</v>
      </c>
      <c r="T340" s="18" t="s">
        <v>31</v>
      </c>
      <c r="U340" s="18" t="s">
        <v>1113</v>
      </c>
    </row>
    <row r="341" spans="1:21" ht="33.6" customHeight="1" thickTop="1" thickBot="1">
      <c r="A341" s="18" t="str">
        <f t="shared" si="5"/>
        <v>agosto</v>
      </c>
      <c r="B341" s="18" t="s">
        <v>1751</v>
      </c>
      <c r="C341" s="7" t="s">
        <v>7</v>
      </c>
      <c r="D341" s="7" t="s">
        <v>8</v>
      </c>
      <c r="E341" s="18" t="s">
        <v>1796</v>
      </c>
      <c r="F341" s="18" t="s">
        <v>1797</v>
      </c>
      <c r="G341" s="18" t="s">
        <v>1798</v>
      </c>
      <c r="H341" s="19" t="s">
        <v>32</v>
      </c>
      <c r="I341" s="18" t="s">
        <v>1799</v>
      </c>
      <c r="J341" s="18" t="s">
        <v>57</v>
      </c>
      <c r="K341" s="18" t="s">
        <v>43</v>
      </c>
      <c r="L341" s="20">
        <v>1502</v>
      </c>
      <c r="M341" s="20" t="s">
        <v>1800</v>
      </c>
      <c r="N341" s="20">
        <v>180</v>
      </c>
      <c r="O341" s="20" t="s">
        <v>30</v>
      </c>
      <c r="P341" s="20" t="s">
        <v>30</v>
      </c>
      <c r="Q341" s="21">
        <v>46259</v>
      </c>
      <c r="R341" s="21">
        <v>46260</v>
      </c>
      <c r="S341" s="21" t="s">
        <v>52</v>
      </c>
      <c r="T341" s="18" t="s">
        <v>31</v>
      </c>
      <c r="U341" s="18" t="s">
        <v>1113</v>
      </c>
    </row>
    <row r="342" spans="1:21" ht="33.6" customHeight="1" thickTop="1" thickBot="1">
      <c r="A342" s="18" t="str">
        <f t="shared" si="5"/>
        <v>agosto</v>
      </c>
      <c r="B342" s="18" t="s">
        <v>1752</v>
      </c>
      <c r="C342" s="7" t="s">
        <v>9</v>
      </c>
      <c r="D342" s="7" t="s">
        <v>10</v>
      </c>
      <c r="E342" s="18" t="s">
        <v>1801</v>
      </c>
      <c r="F342" s="18" t="s">
        <v>1802</v>
      </c>
      <c r="G342" s="18" t="s">
        <v>1803</v>
      </c>
      <c r="H342" s="19" t="s">
        <v>40</v>
      </c>
      <c r="I342" s="18" t="s">
        <v>61</v>
      </c>
      <c r="J342" s="18" t="s">
        <v>38</v>
      </c>
      <c r="K342" s="18" t="s">
        <v>34</v>
      </c>
      <c r="L342" s="20">
        <v>1502</v>
      </c>
      <c r="M342" s="20" t="s">
        <v>1804</v>
      </c>
      <c r="N342" s="20" t="s">
        <v>30</v>
      </c>
      <c r="O342" s="20" t="s">
        <v>30</v>
      </c>
      <c r="P342" s="20" t="s">
        <v>30</v>
      </c>
      <c r="Q342" s="21">
        <v>46260</v>
      </c>
      <c r="R342" s="21">
        <v>46260</v>
      </c>
      <c r="S342" s="21" t="s">
        <v>41</v>
      </c>
      <c r="T342" s="18" t="s">
        <v>42</v>
      </c>
      <c r="U342" s="18" t="s">
        <v>30</v>
      </c>
    </row>
    <row r="343" spans="1:21" ht="33.6" customHeight="1" thickTop="1" thickBot="1">
      <c r="A343" s="18" t="str">
        <f t="shared" si="5"/>
        <v>agosto</v>
      </c>
      <c r="B343" s="18" t="s">
        <v>1753</v>
      </c>
      <c r="E343" s="18" t="s">
        <v>1805</v>
      </c>
      <c r="F343" s="18" t="s">
        <v>1806</v>
      </c>
      <c r="G343" s="18" t="s">
        <v>1807</v>
      </c>
      <c r="H343" s="19" t="s">
        <v>32</v>
      </c>
      <c r="I343" s="18" t="s">
        <v>1808</v>
      </c>
      <c r="J343" s="18" t="s">
        <v>33</v>
      </c>
      <c r="K343" s="18" t="s">
        <v>34</v>
      </c>
      <c r="L343" s="20">
        <v>1502</v>
      </c>
      <c r="M343" s="20" t="s">
        <v>1809</v>
      </c>
      <c r="N343" s="20" t="s">
        <v>30</v>
      </c>
      <c r="O343" s="20" t="s">
        <v>30</v>
      </c>
      <c r="P343" s="20" t="s">
        <v>30</v>
      </c>
      <c r="Q343" s="21">
        <v>46260</v>
      </c>
      <c r="R343" s="21">
        <v>46260</v>
      </c>
      <c r="S343" s="21" t="s">
        <v>56</v>
      </c>
      <c r="T343" s="18" t="s">
        <v>30</v>
      </c>
      <c r="U343" s="18" t="s">
        <v>30</v>
      </c>
    </row>
    <row r="344" spans="1:21" ht="33.6" customHeight="1" thickTop="1" thickBot="1">
      <c r="A344" s="18" t="str">
        <f t="shared" si="5"/>
        <v>agosto</v>
      </c>
      <c r="B344" s="18" t="s">
        <v>1754</v>
      </c>
      <c r="C344" s="7" t="s">
        <v>7</v>
      </c>
      <c r="D344" s="7" t="s">
        <v>8</v>
      </c>
      <c r="E344" s="18" t="s">
        <v>1810</v>
      </c>
      <c r="F344" s="18" t="s">
        <v>1811</v>
      </c>
      <c r="G344" s="18" t="s">
        <v>1812</v>
      </c>
      <c r="H344" s="19" t="s">
        <v>32</v>
      </c>
      <c r="I344" s="18" t="s">
        <v>1813</v>
      </c>
      <c r="J344" s="18" t="s">
        <v>57</v>
      </c>
      <c r="K344" s="18" t="s">
        <v>43</v>
      </c>
      <c r="L344" s="20">
        <v>1502</v>
      </c>
      <c r="M344" s="20" t="s">
        <v>1814</v>
      </c>
      <c r="N344" s="20">
        <v>140</v>
      </c>
      <c r="O344" s="20" t="s">
        <v>30</v>
      </c>
      <c r="P344" s="20" t="s">
        <v>30</v>
      </c>
      <c r="Q344" s="21">
        <v>46260</v>
      </c>
      <c r="R344" s="21">
        <v>46260</v>
      </c>
      <c r="S344" s="21" t="s">
        <v>52</v>
      </c>
      <c r="T344" s="18" t="s">
        <v>31</v>
      </c>
      <c r="U344" s="18" t="s">
        <v>1113</v>
      </c>
    </row>
    <row r="345" spans="1:21" ht="33.6" customHeight="1" thickTop="1" thickBot="1">
      <c r="A345" s="18" t="str">
        <f t="shared" si="5"/>
        <v>agosto</v>
      </c>
      <c r="B345" s="18" t="s">
        <v>1755</v>
      </c>
      <c r="E345" s="18" t="s">
        <v>1727</v>
      </c>
      <c r="F345" s="18" t="s">
        <v>1728</v>
      </c>
      <c r="G345" s="18" t="s">
        <v>1729</v>
      </c>
      <c r="H345" s="19" t="s">
        <v>32</v>
      </c>
      <c r="I345" s="18" t="s">
        <v>1730</v>
      </c>
      <c r="J345" s="18" t="s">
        <v>57</v>
      </c>
      <c r="K345" s="18" t="s">
        <v>34</v>
      </c>
      <c r="L345" s="20">
        <v>1502</v>
      </c>
      <c r="M345" s="20" t="s">
        <v>1731</v>
      </c>
      <c r="N345" s="20" t="s">
        <v>30</v>
      </c>
      <c r="O345" s="20" t="s">
        <v>30</v>
      </c>
      <c r="P345" s="20" t="s">
        <v>30</v>
      </c>
      <c r="Q345" s="21">
        <v>46260</v>
      </c>
      <c r="R345" s="21">
        <v>46260</v>
      </c>
      <c r="S345" s="21" t="s">
        <v>56</v>
      </c>
      <c r="T345" s="18" t="s">
        <v>30</v>
      </c>
      <c r="U345" s="18" t="s">
        <v>30</v>
      </c>
    </row>
    <row r="346" spans="1:21" ht="33.6" customHeight="1" thickTop="1" thickBot="1">
      <c r="A346" s="18" t="str">
        <f t="shared" si="5"/>
        <v>agosto</v>
      </c>
      <c r="B346" s="18" t="s">
        <v>1117</v>
      </c>
      <c r="C346" s="7" t="s">
        <v>7</v>
      </c>
      <c r="D346" s="7" t="s">
        <v>8</v>
      </c>
      <c r="E346" s="18" t="s">
        <v>1137</v>
      </c>
      <c r="F346" s="18" t="s">
        <v>1138</v>
      </c>
      <c r="G346" s="18" t="s">
        <v>1139</v>
      </c>
      <c r="H346" s="19" t="s">
        <v>46</v>
      </c>
      <c r="I346" s="18" t="s">
        <v>1140</v>
      </c>
      <c r="J346" s="18" t="s">
        <v>62</v>
      </c>
      <c r="K346" s="18" t="s">
        <v>63</v>
      </c>
      <c r="L346" s="20">
        <v>1502</v>
      </c>
      <c r="M346" s="20" t="s">
        <v>1825</v>
      </c>
      <c r="N346" s="20" t="s">
        <v>30</v>
      </c>
      <c r="O346" s="20" t="s">
        <v>30</v>
      </c>
      <c r="P346" s="20" t="s">
        <v>30</v>
      </c>
      <c r="Q346" s="21">
        <v>46248</v>
      </c>
      <c r="R346" s="21">
        <v>46261</v>
      </c>
      <c r="S346" s="21" t="s">
        <v>52</v>
      </c>
      <c r="T346" s="18" t="s">
        <v>31</v>
      </c>
      <c r="U346" s="18" t="s">
        <v>30</v>
      </c>
    </row>
    <row r="347" spans="1:21" ht="33.6" customHeight="1" thickTop="1" thickBot="1">
      <c r="A347" s="18" t="str">
        <f t="shared" si="5"/>
        <v>agosto</v>
      </c>
      <c r="B347" s="18" t="s">
        <v>1815</v>
      </c>
      <c r="C347" s="7" t="s">
        <v>7</v>
      </c>
      <c r="D347" s="7" t="s">
        <v>8</v>
      </c>
      <c r="E347" s="18" t="s">
        <v>1826</v>
      </c>
      <c r="F347" s="18" t="s">
        <v>1827</v>
      </c>
      <c r="G347" s="18" t="s">
        <v>1828</v>
      </c>
      <c r="H347" s="19" t="s">
        <v>40</v>
      </c>
      <c r="I347" s="18" t="s">
        <v>1344</v>
      </c>
      <c r="J347" s="18" t="s">
        <v>38</v>
      </c>
      <c r="K347" s="18" t="s">
        <v>39</v>
      </c>
      <c r="L347" s="20">
        <v>1502</v>
      </c>
      <c r="M347" s="20" t="s">
        <v>1829</v>
      </c>
      <c r="N347" s="20" t="s">
        <v>30</v>
      </c>
      <c r="O347" s="20" t="s">
        <v>30</v>
      </c>
      <c r="P347" s="20" t="s">
        <v>30</v>
      </c>
      <c r="Q347" s="21">
        <v>46259</v>
      </c>
      <c r="R347" s="21">
        <v>46261</v>
      </c>
      <c r="S347" s="21" t="s">
        <v>49</v>
      </c>
      <c r="T347" s="18" t="s">
        <v>31</v>
      </c>
      <c r="U347" s="18" t="s">
        <v>30</v>
      </c>
    </row>
    <row r="348" spans="1:21" ht="33.6" customHeight="1" thickTop="1" thickBot="1">
      <c r="A348" s="18" t="str">
        <f t="shared" si="5"/>
        <v>agosto</v>
      </c>
      <c r="B348" s="18" t="s">
        <v>1661</v>
      </c>
      <c r="C348" s="7" t="s">
        <v>7</v>
      </c>
      <c r="D348" s="7" t="s">
        <v>8</v>
      </c>
      <c r="E348" s="18" t="s">
        <v>1830</v>
      </c>
      <c r="F348" s="18" t="s">
        <v>1831</v>
      </c>
      <c r="G348" s="18" t="s">
        <v>1832</v>
      </c>
      <c r="H348" s="19" t="s">
        <v>40</v>
      </c>
      <c r="I348" s="18" t="s">
        <v>1344</v>
      </c>
      <c r="J348" s="18" t="s">
        <v>38</v>
      </c>
      <c r="K348" s="18" t="s">
        <v>43</v>
      </c>
      <c r="L348" s="20">
        <v>1502</v>
      </c>
      <c r="M348" s="20" t="s">
        <v>1833</v>
      </c>
      <c r="N348" s="20">
        <v>35</v>
      </c>
      <c r="O348" s="20" t="s">
        <v>30</v>
      </c>
      <c r="P348" s="20" t="s">
        <v>30</v>
      </c>
      <c r="Q348" s="21">
        <v>46259</v>
      </c>
      <c r="R348" s="21">
        <v>46261</v>
      </c>
      <c r="S348" s="21" t="s">
        <v>49</v>
      </c>
      <c r="T348" s="18" t="s">
        <v>31</v>
      </c>
      <c r="U348" s="20" t="s">
        <v>1114</v>
      </c>
    </row>
    <row r="349" spans="1:21" ht="33.6" customHeight="1" thickTop="1" thickBot="1">
      <c r="A349" s="18" t="str">
        <f t="shared" si="5"/>
        <v>agosto</v>
      </c>
      <c r="B349" s="18" t="s">
        <v>1816</v>
      </c>
      <c r="C349" s="7" t="s">
        <v>7</v>
      </c>
      <c r="D349" s="7" t="s">
        <v>8</v>
      </c>
      <c r="E349" s="18" t="s">
        <v>1834</v>
      </c>
      <c r="F349" s="18" t="s">
        <v>1835</v>
      </c>
      <c r="G349" s="18" t="s">
        <v>1836</v>
      </c>
      <c r="H349" s="19" t="s">
        <v>46</v>
      </c>
      <c r="I349" s="18" t="s">
        <v>1837</v>
      </c>
      <c r="J349" s="18" t="s">
        <v>57</v>
      </c>
      <c r="K349" s="18" t="s">
        <v>43</v>
      </c>
      <c r="L349" s="20">
        <v>1502</v>
      </c>
      <c r="M349" s="20" t="s">
        <v>1838</v>
      </c>
      <c r="N349" s="20">
        <v>80</v>
      </c>
      <c r="O349" s="20" t="s">
        <v>30</v>
      </c>
      <c r="P349" s="20" t="s">
        <v>30</v>
      </c>
      <c r="Q349" s="21">
        <v>46259</v>
      </c>
      <c r="R349" s="21">
        <v>46261</v>
      </c>
      <c r="S349" s="21" t="s">
        <v>35</v>
      </c>
      <c r="T349" s="18" t="s">
        <v>31</v>
      </c>
      <c r="U349" s="20" t="s">
        <v>1113</v>
      </c>
    </row>
    <row r="350" spans="1:21" ht="33.6" customHeight="1" thickTop="1" thickBot="1">
      <c r="A350" s="18" t="str">
        <f t="shared" si="5"/>
        <v>agosto</v>
      </c>
      <c r="B350" s="18" t="s">
        <v>1817</v>
      </c>
      <c r="C350" s="7" t="s">
        <v>7</v>
      </c>
      <c r="D350" s="7" t="s">
        <v>8</v>
      </c>
      <c r="E350" s="18" t="s">
        <v>1839</v>
      </c>
      <c r="F350" s="18" t="s">
        <v>1840</v>
      </c>
      <c r="G350" s="18" t="s">
        <v>1841</v>
      </c>
      <c r="H350" s="19" t="s">
        <v>37</v>
      </c>
      <c r="I350" s="18" t="s">
        <v>1842</v>
      </c>
      <c r="J350" s="18" t="s">
        <v>55</v>
      </c>
      <c r="K350" s="18" t="s">
        <v>34</v>
      </c>
      <c r="L350" s="20">
        <v>1502</v>
      </c>
      <c r="M350" s="20" t="s">
        <v>1843</v>
      </c>
      <c r="N350" s="20" t="s">
        <v>30</v>
      </c>
      <c r="O350" s="20" t="s">
        <v>30</v>
      </c>
      <c r="P350" s="20" t="s">
        <v>30</v>
      </c>
      <c r="Q350" s="21">
        <v>46260</v>
      </c>
      <c r="R350" s="21">
        <v>46261</v>
      </c>
      <c r="S350" s="21" t="s">
        <v>53</v>
      </c>
      <c r="T350" s="18" t="s">
        <v>31</v>
      </c>
      <c r="U350" s="18" t="s">
        <v>30</v>
      </c>
    </row>
    <row r="351" spans="1:21" ht="33.6" customHeight="1" thickTop="1" thickBot="1">
      <c r="A351" s="18" t="str">
        <f t="shared" si="5"/>
        <v>agosto</v>
      </c>
      <c r="B351" s="18" t="s">
        <v>1818</v>
      </c>
      <c r="C351" s="7" t="s">
        <v>7</v>
      </c>
      <c r="D351" s="7" t="s">
        <v>8</v>
      </c>
      <c r="E351" s="18" t="s">
        <v>1844</v>
      </c>
      <c r="F351" s="18" t="s">
        <v>1845</v>
      </c>
      <c r="G351" s="18" t="s">
        <v>1846</v>
      </c>
      <c r="H351" s="19" t="s">
        <v>64</v>
      </c>
      <c r="I351" s="18" t="s">
        <v>1847</v>
      </c>
      <c r="J351" s="18" t="s">
        <v>51</v>
      </c>
      <c r="K351" s="18" t="s">
        <v>39</v>
      </c>
      <c r="L351" s="20">
        <v>1502</v>
      </c>
      <c r="M351" s="20" t="s">
        <v>1848</v>
      </c>
      <c r="N351" s="20" t="s">
        <v>30</v>
      </c>
      <c r="O351" s="20" t="s">
        <v>30</v>
      </c>
      <c r="P351" s="20" t="s">
        <v>30</v>
      </c>
      <c r="Q351" s="21">
        <v>46260</v>
      </c>
      <c r="R351" s="21">
        <v>46261</v>
      </c>
      <c r="S351" s="21" t="s">
        <v>53</v>
      </c>
      <c r="T351" s="18" t="s">
        <v>31</v>
      </c>
      <c r="U351" s="18" t="s">
        <v>30</v>
      </c>
    </row>
    <row r="352" spans="1:21" ht="33.6" customHeight="1" thickTop="1" thickBot="1">
      <c r="A352" s="18" t="str">
        <f t="shared" si="5"/>
        <v>agosto</v>
      </c>
      <c r="B352" s="18" t="s">
        <v>1819</v>
      </c>
      <c r="C352" s="7" t="s">
        <v>7</v>
      </c>
      <c r="D352" s="7" t="s">
        <v>8</v>
      </c>
      <c r="E352" s="18" t="s">
        <v>1849</v>
      </c>
      <c r="F352" s="18" t="s">
        <v>1850</v>
      </c>
      <c r="G352" s="18" t="s">
        <v>1851</v>
      </c>
      <c r="H352" s="19" t="s">
        <v>46</v>
      </c>
      <c r="I352" s="18" t="s">
        <v>1852</v>
      </c>
      <c r="J352" s="18" t="s">
        <v>45</v>
      </c>
      <c r="K352" s="18" t="s">
        <v>43</v>
      </c>
      <c r="L352" s="20">
        <v>1502</v>
      </c>
      <c r="M352" s="20" t="s">
        <v>1853</v>
      </c>
      <c r="N352" s="20">
        <v>110</v>
      </c>
      <c r="O352" s="20" t="s">
        <v>30</v>
      </c>
      <c r="P352" s="20" t="s">
        <v>30</v>
      </c>
      <c r="Q352" s="21">
        <v>46260</v>
      </c>
      <c r="R352" s="21">
        <v>46261</v>
      </c>
      <c r="S352" s="21" t="s">
        <v>52</v>
      </c>
      <c r="T352" s="18" t="s">
        <v>31</v>
      </c>
      <c r="U352" s="20" t="s">
        <v>1113</v>
      </c>
    </row>
    <row r="353" spans="1:21" ht="33.6" customHeight="1" thickTop="1" thickBot="1">
      <c r="A353" s="18" t="str">
        <f t="shared" si="5"/>
        <v>agosto</v>
      </c>
      <c r="B353" s="18" t="s">
        <v>1820</v>
      </c>
      <c r="C353" s="7" t="s">
        <v>7</v>
      </c>
      <c r="D353" s="7" t="s">
        <v>8</v>
      </c>
      <c r="E353" s="18" t="s">
        <v>1854</v>
      </c>
      <c r="F353" s="18" t="s">
        <v>1855</v>
      </c>
      <c r="G353" s="18" t="s">
        <v>1856</v>
      </c>
      <c r="H353" s="19" t="s">
        <v>32</v>
      </c>
      <c r="I353" s="18" t="s">
        <v>1857</v>
      </c>
      <c r="J353" s="18" t="s">
        <v>57</v>
      </c>
      <c r="K353" s="18" t="s">
        <v>43</v>
      </c>
      <c r="L353" s="20">
        <v>1502</v>
      </c>
      <c r="M353" s="20" t="s">
        <v>1858</v>
      </c>
      <c r="N353" s="20">
        <v>100</v>
      </c>
      <c r="O353" s="20" t="s">
        <v>30</v>
      </c>
      <c r="P353" s="20" t="s">
        <v>30</v>
      </c>
      <c r="Q353" s="21">
        <v>46260</v>
      </c>
      <c r="R353" s="21">
        <v>46261</v>
      </c>
      <c r="S353" s="21" t="s">
        <v>35</v>
      </c>
      <c r="T353" s="18" t="s">
        <v>31</v>
      </c>
      <c r="U353" s="20" t="s">
        <v>1114</v>
      </c>
    </row>
    <row r="354" spans="1:21" ht="33.6" customHeight="1" thickTop="1" thickBot="1">
      <c r="A354" s="18" t="str">
        <f t="shared" si="5"/>
        <v>agosto</v>
      </c>
      <c r="B354" s="18" t="s">
        <v>1748</v>
      </c>
      <c r="C354" s="7" t="s">
        <v>7</v>
      </c>
      <c r="D354" s="7" t="s">
        <v>8</v>
      </c>
      <c r="E354" s="18" t="s">
        <v>1781</v>
      </c>
      <c r="F354" s="18" t="s">
        <v>1782</v>
      </c>
      <c r="G354" s="18" t="s">
        <v>1783</v>
      </c>
      <c r="H354" s="19" t="s">
        <v>64</v>
      </c>
      <c r="I354" s="18" t="s">
        <v>1784</v>
      </c>
      <c r="J354" s="18" t="s">
        <v>55</v>
      </c>
      <c r="K354" s="18" t="s">
        <v>43</v>
      </c>
      <c r="L354" s="20">
        <v>1502</v>
      </c>
      <c r="M354" s="20" t="s">
        <v>1859</v>
      </c>
      <c r="N354" s="20" t="s">
        <v>30</v>
      </c>
      <c r="O354" s="20">
        <v>95</v>
      </c>
      <c r="P354" s="20">
        <v>1</v>
      </c>
      <c r="Q354" s="21">
        <v>46259</v>
      </c>
      <c r="R354" s="21">
        <v>46261</v>
      </c>
      <c r="S354" s="21" t="s">
        <v>53</v>
      </c>
      <c r="T354" s="18" t="s">
        <v>31</v>
      </c>
      <c r="U354" s="20" t="s">
        <v>1113</v>
      </c>
    </row>
    <row r="355" spans="1:21" ht="33.6" customHeight="1" thickTop="1" thickBot="1">
      <c r="A355" s="18" t="str">
        <f t="shared" si="5"/>
        <v>agosto</v>
      </c>
      <c r="B355" s="18" t="s">
        <v>1821</v>
      </c>
      <c r="C355" s="7" t="s">
        <v>9</v>
      </c>
      <c r="D355" s="7" t="s">
        <v>10</v>
      </c>
      <c r="E355" s="18" t="s">
        <v>1860</v>
      </c>
      <c r="F355" s="18" t="s">
        <v>1861</v>
      </c>
      <c r="G355" s="18" t="s">
        <v>1862</v>
      </c>
      <c r="H355" s="19" t="s">
        <v>40</v>
      </c>
      <c r="I355" s="18" t="s">
        <v>1863</v>
      </c>
      <c r="J355" s="18" t="s">
        <v>38</v>
      </c>
      <c r="K355" s="18" t="s">
        <v>43</v>
      </c>
      <c r="L355" s="20">
        <v>1502</v>
      </c>
      <c r="M355" s="20" t="s">
        <v>1864</v>
      </c>
      <c r="N355" s="20">
        <v>41</v>
      </c>
      <c r="O355" s="20" t="s">
        <v>30</v>
      </c>
      <c r="P355" s="20" t="s">
        <v>30</v>
      </c>
      <c r="Q355" s="21">
        <v>46260</v>
      </c>
      <c r="R355" s="21">
        <v>46261</v>
      </c>
      <c r="S355" s="21" t="s">
        <v>41</v>
      </c>
      <c r="T355" s="18" t="s">
        <v>42</v>
      </c>
      <c r="U355" s="20" t="s">
        <v>1113</v>
      </c>
    </row>
    <row r="356" spans="1:21" ht="33.6" customHeight="1" thickTop="1" thickBot="1">
      <c r="A356" s="18" t="str">
        <f t="shared" si="5"/>
        <v>agosto</v>
      </c>
      <c r="B356" s="18" t="s">
        <v>1822</v>
      </c>
      <c r="C356" s="7" t="s">
        <v>9</v>
      </c>
      <c r="D356" s="7" t="s">
        <v>10</v>
      </c>
      <c r="E356" s="18" t="s">
        <v>1865</v>
      </c>
      <c r="F356" s="18" t="s">
        <v>1866</v>
      </c>
      <c r="G356" s="18" t="s">
        <v>1867</v>
      </c>
      <c r="H356" s="19" t="s">
        <v>46</v>
      </c>
      <c r="I356" s="18" t="s">
        <v>1868</v>
      </c>
      <c r="J356" s="18" t="s">
        <v>62</v>
      </c>
      <c r="K356" s="18" t="s">
        <v>34</v>
      </c>
      <c r="L356" s="20">
        <v>1502</v>
      </c>
      <c r="M356" s="20" t="s">
        <v>1869</v>
      </c>
      <c r="N356" s="20" t="s">
        <v>30</v>
      </c>
      <c r="O356" s="20" t="s">
        <v>30</v>
      </c>
      <c r="P356" s="20" t="s">
        <v>30</v>
      </c>
      <c r="Q356" s="21">
        <v>46260</v>
      </c>
      <c r="R356" s="21">
        <v>46261</v>
      </c>
      <c r="S356" s="21" t="s">
        <v>41</v>
      </c>
      <c r="T356" s="18" t="s">
        <v>42</v>
      </c>
      <c r="U356" s="18" t="s">
        <v>30</v>
      </c>
    </row>
    <row r="357" spans="1:21" ht="33.6" customHeight="1" thickTop="1" thickBot="1">
      <c r="A357" s="18" t="str">
        <f t="shared" si="5"/>
        <v>agosto</v>
      </c>
      <c r="B357" s="18" t="s">
        <v>1823</v>
      </c>
      <c r="E357" s="18" t="s">
        <v>1870</v>
      </c>
      <c r="F357" s="18" t="s">
        <v>1871</v>
      </c>
      <c r="G357" s="18" t="s">
        <v>1872</v>
      </c>
      <c r="H357" s="19" t="s">
        <v>37</v>
      </c>
      <c r="I357" s="18" t="s">
        <v>1873</v>
      </c>
      <c r="J357" s="18" t="s">
        <v>59</v>
      </c>
      <c r="K357" s="18" t="s">
        <v>34</v>
      </c>
      <c r="L357" s="20">
        <v>1502</v>
      </c>
      <c r="M357" s="20" t="s">
        <v>1874</v>
      </c>
      <c r="N357" s="20" t="s">
        <v>30</v>
      </c>
      <c r="O357" s="20" t="s">
        <v>30</v>
      </c>
      <c r="P357" s="20" t="s">
        <v>30</v>
      </c>
      <c r="Q357" s="21">
        <v>46261</v>
      </c>
      <c r="R357" s="21">
        <v>46261</v>
      </c>
      <c r="S357" s="21" t="s">
        <v>56</v>
      </c>
      <c r="T357" s="18" t="s">
        <v>30</v>
      </c>
      <c r="U357" s="18" t="s">
        <v>30</v>
      </c>
    </row>
    <row r="358" spans="1:21" ht="33.6" customHeight="1" thickTop="1" thickBot="1">
      <c r="A358" s="18" t="str">
        <f t="shared" si="5"/>
        <v>agosto</v>
      </c>
      <c r="B358" s="18" t="s">
        <v>1824</v>
      </c>
      <c r="E358" s="18" t="s">
        <v>75</v>
      </c>
      <c r="F358" s="18" t="s">
        <v>76</v>
      </c>
      <c r="G358" s="18" t="s">
        <v>77</v>
      </c>
      <c r="H358" s="19" t="s">
        <v>40</v>
      </c>
      <c r="I358" s="18" t="s">
        <v>44</v>
      </c>
      <c r="J358" s="18" t="s">
        <v>38</v>
      </c>
      <c r="K358" s="18" t="s">
        <v>34</v>
      </c>
      <c r="L358" s="20">
        <v>1502</v>
      </c>
      <c r="M358" s="20" t="s">
        <v>1875</v>
      </c>
      <c r="N358" s="20" t="s">
        <v>30</v>
      </c>
      <c r="O358" s="20" t="s">
        <v>30</v>
      </c>
      <c r="P358" s="20" t="s">
        <v>30</v>
      </c>
      <c r="Q358" s="21">
        <v>46261</v>
      </c>
      <c r="R358" s="21">
        <v>46261</v>
      </c>
      <c r="S358" s="21" t="s">
        <v>56</v>
      </c>
      <c r="T358" s="18" t="s">
        <v>30</v>
      </c>
      <c r="U358" s="18" t="s">
        <v>30</v>
      </c>
    </row>
    <row r="359" spans="1:21" ht="33.6" customHeight="1" thickTop="1" thickBot="1">
      <c r="A359" s="18" t="str">
        <f t="shared" si="5"/>
        <v>agosto</v>
      </c>
      <c r="B359" s="18" t="s">
        <v>1577</v>
      </c>
      <c r="C359" s="7" t="s">
        <v>7</v>
      </c>
      <c r="D359" s="7" t="s">
        <v>8</v>
      </c>
      <c r="E359" s="18" t="s">
        <v>1603</v>
      </c>
      <c r="F359" s="18" t="s">
        <v>1604</v>
      </c>
      <c r="G359" s="18" t="s">
        <v>1605</v>
      </c>
      <c r="H359" s="19" t="s">
        <v>46</v>
      </c>
      <c r="I359" s="18" t="s">
        <v>1442</v>
      </c>
      <c r="J359" s="18" t="s">
        <v>45</v>
      </c>
      <c r="K359" s="18" t="s">
        <v>39</v>
      </c>
      <c r="L359" s="20">
        <v>1502</v>
      </c>
      <c r="M359" s="20" t="s">
        <v>1887</v>
      </c>
      <c r="N359" s="20" t="s">
        <v>30</v>
      </c>
      <c r="O359" s="20" t="s">
        <v>30</v>
      </c>
      <c r="P359" s="20" t="s">
        <v>30</v>
      </c>
      <c r="Q359" s="21">
        <v>46255</v>
      </c>
      <c r="R359" s="21">
        <v>46262</v>
      </c>
      <c r="S359" s="21" t="s">
        <v>35</v>
      </c>
      <c r="T359" s="18" t="s">
        <v>31</v>
      </c>
      <c r="U359" s="18" t="s">
        <v>30</v>
      </c>
    </row>
    <row r="360" spans="1:21" ht="33.6" customHeight="1" thickTop="1" thickBot="1">
      <c r="A360" s="18" t="str">
        <f t="shared" si="5"/>
        <v>agosto</v>
      </c>
      <c r="B360" s="18" t="s">
        <v>1876</v>
      </c>
      <c r="C360" s="7" t="s">
        <v>7</v>
      </c>
      <c r="D360" s="7" t="s">
        <v>8</v>
      </c>
      <c r="E360" s="18" t="s">
        <v>1888</v>
      </c>
      <c r="F360" s="18" t="s">
        <v>1889</v>
      </c>
      <c r="G360" s="18" t="s">
        <v>1890</v>
      </c>
      <c r="H360" s="19" t="s">
        <v>40</v>
      </c>
      <c r="I360" s="18" t="s">
        <v>61</v>
      </c>
      <c r="J360" s="18" t="s">
        <v>45</v>
      </c>
      <c r="K360" s="18" t="s">
        <v>43</v>
      </c>
      <c r="L360" s="20">
        <v>1502</v>
      </c>
      <c r="M360" s="20" t="s">
        <v>1891</v>
      </c>
      <c r="N360" s="20" t="s">
        <v>30</v>
      </c>
      <c r="O360" s="20">
        <v>130</v>
      </c>
      <c r="P360" s="20">
        <v>6</v>
      </c>
      <c r="Q360" s="21">
        <v>46259</v>
      </c>
      <c r="R360" s="21">
        <v>46262</v>
      </c>
      <c r="S360" s="21" t="s">
        <v>35</v>
      </c>
      <c r="T360" s="18" t="s">
        <v>31</v>
      </c>
      <c r="U360" s="20" t="s">
        <v>1113</v>
      </c>
    </row>
    <row r="361" spans="1:21" ht="33.6" customHeight="1" thickTop="1" thickBot="1">
      <c r="A361" s="18" t="str">
        <f t="shared" si="5"/>
        <v>agosto</v>
      </c>
      <c r="B361" s="18" t="s">
        <v>1877</v>
      </c>
      <c r="C361" s="7" t="s">
        <v>7</v>
      </c>
      <c r="D361" s="7" t="s">
        <v>8</v>
      </c>
      <c r="E361" s="18" t="s">
        <v>1892</v>
      </c>
      <c r="F361" s="18" t="s">
        <v>1893</v>
      </c>
      <c r="G361" s="18" t="s">
        <v>1894</v>
      </c>
      <c r="H361" s="19" t="s">
        <v>40</v>
      </c>
      <c r="I361" s="18" t="s">
        <v>1344</v>
      </c>
      <c r="J361" s="18" t="s">
        <v>38</v>
      </c>
      <c r="K361" s="18" t="s">
        <v>34</v>
      </c>
      <c r="L361" s="20">
        <v>1502</v>
      </c>
      <c r="M361" s="20" t="s">
        <v>1895</v>
      </c>
      <c r="N361" s="20" t="s">
        <v>30</v>
      </c>
      <c r="O361" s="20" t="s">
        <v>30</v>
      </c>
      <c r="P361" s="20" t="s">
        <v>30</v>
      </c>
      <c r="Q361" s="21">
        <v>46260</v>
      </c>
      <c r="R361" s="21">
        <v>46262</v>
      </c>
      <c r="S361" s="21" t="s">
        <v>52</v>
      </c>
      <c r="T361" s="18" t="s">
        <v>31</v>
      </c>
      <c r="U361" s="18" t="s">
        <v>30</v>
      </c>
    </row>
    <row r="362" spans="1:21" ht="33.6" customHeight="1" thickTop="1" thickBot="1">
      <c r="A362" s="18" t="str">
        <f t="shared" si="5"/>
        <v>agosto</v>
      </c>
      <c r="B362" s="18" t="s">
        <v>1878</v>
      </c>
      <c r="C362" s="7" t="s">
        <v>7</v>
      </c>
      <c r="D362" s="7" t="s">
        <v>8</v>
      </c>
      <c r="E362" s="18" t="s">
        <v>1896</v>
      </c>
      <c r="F362" s="18" t="s">
        <v>1897</v>
      </c>
      <c r="G362" s="18" t="s">
        <v>1898</v>
      </c>
      <c r="H362" s="19" t="s">
        <v>64</v>
      </c>
      <c r="I362" s="18" t="s">
        <v>1899</v>
      </c>
      <c r="J362" s="18" t="s">
        <v>51</v>
      </c>
      <c r="K362" s="18" t="s">
        <v>43</v>
      </c>
      <c r="L362" s="20">
        <v>1502</v>
      </c>
      <c r="M362" s="20" t="s">
        <v>66</v>
      </c>
      <c r="N362" s="20" t="s">
        <v>30</v>
      </c>
      <c r="O362" s="20" t="s">
        <v>30</v>
      </c>
      <c r="P362" s="20" t="s">
        <v>30</v>
      </c>
      <c r="Q362" s="21">
        <v>46260</v>
      </c>
      <c r="R362" s="21">
        <v>46262</v>
      </c>
      <c r="S362" s="21" t="s">
        <v>49</v>
      </c>
      <c r="T362" s="18" t="s">
        <v>31</v>
      </c>
      <c r="U362" s="20" t="s">
        <v>1113</v>
      </c>
    </row>
    <row r="363" spans="1:21" ht="33.6" customHeight="1" thickTop="1" thickBot="1">
      <c r="A363" s="18" t="str">
        <f t="shared" si="5"/>
        <v>agosto</v>
      </c>
      <c r="B363" s="18" t="s">
        <v>1815</v>
      </c>
      <c r="C363" s="7" t="s">
        <v>7</v>
      </c>
      <c r="D363" s="7" t="s">
        <v>8</v>
      </c>
      <c r="E363" s="18" t="s">
        <v>1826</v>
      </c>
      <c r="F363" s="18" t="s">
        <v>1827</v>
      </c>
      <c r="G363" s="18" t="s">
        <v>1828</v>
      </c>
      <c r="H363" s="19" t="s">
        <v>40</v>
      </c>
      <c r="I363" s="18" t="s">
        <v>1344</v>
      </c>
      <c r="J363" s="18" t="s">
        <v>38</v>
      </c>
      <c r="K363" s="18" t="s">
        <v>63</v>
      </c>
      <c r="L363" s="20">
        <v>1502</v>
      </c>
      <c r="M363" s="20" t="s">
        <v>1900</v>
      </c>
      <c r="N363" s="20" t="s">
        <v>30</v>
      </c>
      <c r="O363" s="20" t="s">
        <v>30</v>
      </c>
      <c r="P363" s="20" t="s">
        <v>30</v>
      </c>
      <c r="Q363" s="21">
        <v>46259</v>
      </c>
      <c r="R363" s="21">
        <v>46262</v>
      </c>
      <c r="S363" s="21" t="s">
        <v>52</v>
      </c>
      <c r="T363" s="18" t="s">
        <v>31</v>
      </c>
      <c r="U363" s="18" t="s">
        <v>30</v>
      </c>
    </row>
    <row r="364" spans="1:21" ht="33.6" customHeight="1" thickTop="1" thickBot="1">
      <c r="A364" s="18" t="str">
        <f t="shared" si="5"/>
        <v>agosto</v>
      </c>
      <c r="B364" s="18" t="s">
        <v>1879</v>
      </c>
      <c r="C364" s="7" t="s">
        <v>7</v>
      </c>
      <c r="D364" s="7" t="s">
        <v>8</v>
      </c>
      <c r="E364" s="18" t="s">
        <v>1901</v>
      </c>
      <c r="F364" s="18" t="s">
        <v>1902</v>
      </c>
      <c r="G364" s="18" t="s">
        <v>1903</v>
      </c>
      <c r="H364" s="19" t="s">
        <v>46</v>
      </c>
      <c r="I364" s="18" t="s">
        <v>1904</v>
      </c>
      <c r="J364" s="18" t="s">
        <v>45</v>
      </c>
      <c r="K364" s="18" t="s">
        <v>34</v>
      </c>
      <c r="L364" s="20">
        <v>1502</v>
      </c>
      <c r="M364" s="20" t="s">
        <v>1905</v>
      </c>
      <c r="N364" s="20" t="s">
        <v>30</v>
      </c>
      <c r="O364" s="20" t="s">
        <v>30</v>
      </c>
      <c r="P364" s="20" t="s">
        <v>30</v>
      </c>
      <c r="Q364" s="21">
        <v>46261</v>
      </c>
      <c r="R364" s="21">
        <v>46262</v>
      </c>
      <c r="S364" s="21" t="s">
        <v>52</v>
      </c>
      <c r="T364" s="18" t="s">
        <v>31</v>
      </c>
      <c r="U364" s="18" t="s">
        <v>30</v>
      </c>
    </row>
    <row r="365" spans="1:21" ht="33.6" customHeight="1" thickTop="1" thickBot="1">
      <c r="A365" s="18" t="str">
        <f t="shared" si="5"/>
        <v>agosto</v>
      </c>
      <c r="B365" s="18" t="s">
        <v>1818</v>
      </c>
      <c r="C365" s="7" t="s">
        <v>7</v>
      </c>
      <c r="D365" s="7" t="s">
        <v>8</v>
      </c>
      <c r="E365" s="18" t="s">
        <v>1844</v>
      </c>
      <c r="F365" s="18" t="s">
        <v>1845</v>
      </c>
      <c r="G365" s="18" t="s">
        <v>1846</v>
      </c>
      <c r="H365" s="19" t="s">
        <v>64</v>
      </c>
      <c r="I365" s="18" t="s">
        <v>1847</v>
      </c>
      <c r="J365" s="18" t="s">
        <v>51</v>
      </c>
      <c r="K365" s="18" t="s">
        <v>43</v>
      </c>
      <c r="L365" s="20">
        <v>1502</v>
      </c>
      <c r="M365" s="20" t="s">
        <v>1906</v>
      </c>
      <c r="N365" s="20">
        <v>55</v>
      </c>
      <c r="O365" s="20" t="s">
        <v>30</v>
      </c>
      <c r="P365" s="20" t="s">
        <v>30</v>
      </c>
      <c r="Q365" s="21">
        <v>46260</v>
      </c>
      <c r="R365" s="21">
        <v>46262</v>
      </c>
      <c r="S365" s="21" t="s">
        <v>49</v>
      </c>
      <c r="T365" s="18" t="s">
        <v>31</v>
      </c>
      <c r="U365" s="20" t="s">
        <v>1113</v>
      </c>
    </row>
    <row r="366" spans="1:21" ht="33.6" customHeight="1" thickTop="1" thickBot="1">
      <c r="A366" s="18" t="str">
        <f t="shared" si="5"/>
        <v>agosto</v>
      </c>
      <c r="B366" s="18" t="s">
        <v>1880</v>
      </c>
      <c r="C366" s="7" t="s">
        <v>9</v>
      </c>
      <c r="D366" s="7" t="s">
        <v>10</v>
      </c>
      <c r="E366" s="18" t="s">
        <v>1907</v>
      </c>
      <c r="F366" s="18" t="s">
        <v>1908</v>
      </c>
      <c r="G366" s="18" t="s">
        <v>1909</v>
      </c>
      <c r="H366" s="19" t="s">
        <v>40</v>
      </c>
      <c r="I366" s="18" t="s">
        <v>61</v>
      </c>
      <c r="J366" s="18" t="s">
        <v>38</v>
      </c>
      <c r="K366" s="18" t="s">
        <v>34</v>
      </c>
      <c r="L366" s="20">
        <v>1502</v>
      </c>
      <c r="M366" s="20" t="s">
        <v>1910</v>
      </c>
      <c r="N366" s="20" t="s">
        <v>30</v>
      </c>
      <c r="O366" s="20" t="s">
        <v>30</v>
      </c>
      <c r="P366" s="20" t="s">
        <v>30</v>
      </c>
      <c r="Q366" s="21">
        <v>46261</v>
      </c>
      <c r="R366" s="21">
        <v>46262</v>
      </c>
      <c r="S366" s="21" t="s">
        <v>41</v>
      </c>
      <c r="T366" s="18" t="s">
        <v>42</v>
      </c>
      <c r="U366" s="18" t="s">
        <v>30</v>
      </c>
    </row>
    <row r="367" spans="1:21" ht="33.6" customHeight="1" thickTop="1" thickBot="1">
      <c r="A367" s="18" t="str">
        <f t="shared" si="5"/>
        <v>agosto</v>
      </c>
      <c r="B367" s="18" t="s">
        <v>1881</v>
      </c>
      <c r="C367" s="7" t="s">
        <v>9</v>
      </c>
      <c r="D367" s="7" t="s">
        <v>10</v>
      </c>
      <c r="E367" s="18" t="s">
        <v>1911</v>
      </c>
      <c r="F367" s="18" t="s">
        <v>1912</v>
      </c>
      <c r="G367" s="18" t="s">
        <v>1913</v>
      </c>
      <c r="H367" s="19" t="s">
        <v>40</v>
      </c>
      <c r="I367" s="18" t="s">
        <v>1914</v>
      </c>
      <c r="J367" s="18" t="s">
        <v>38</v>
      </c>
      <c r="K367" s="18" t="s">
        <v>43</v>
      </c>
      <c r="L367" s="20">
        <v>1502</v>
      </c>
      <c r="M367" s="20" t="s">
        <v>1915</v>
      </c>
      <c r="N367" s="20">
        <v>88</v>
      </c>
      <c r="O367" s="20" t="s">
        <v>30</v>
      </c>
      <c r="P367" s="20" t="s">
        <v>30</v>
      </c>
      <c r="Q367" s="21">
        <v>46261</v>
      </c>
      <c r="R367" s="21">
        <v>46262</v>
      </c>
      <c r="S367" s="21" t="s">
        <v>41</v>
      </c>
      <c r="T367" s="18" t="s">
        <v>42</v>
      </c>
      <c r="U367" s="20" t="s">
        <v>1114</v>
      </c>
    </row>
    <row r="368" spans="1:21" ht="33.6" customHeight="1" thickTop="1" thickBot="1">
      <c r="A368" s="18" t="str">
        <f t="shared" si="5"/>
        <v>agosto</v>
      </c>
      <c r="B368" s="18" t="s">
        <v>1882</v>
      </c>
      <c r="C368" s="7" t="s">
        <v>7</v>
      </c>
      <c r="D368" s="7" t="s">
        <v>8</v>
      </c>
      <c r="E368" s="18" t="s">
        <v>1916</v>
      </c>
      <c r="F368" s="18" t="s">
        <v>1917</v>
      </c>
      <c r="G368" s="18" t="s">
        <v>1918</v>
      </c>
      <c r="H368" s="19" t="s">
        <v>32</v>
      </c>
      <c r="I368" s="18" t="s">
        <v>1919</v>
      </c>
      <c r="J368" s="18" t="s">
        <v>33</v>
      </c>
      <c r="K368" s="18" t="s">
        <v>43</v>
      </c>
      <c r="L368" s="20">
        <v>1502</v>
      </c>
      <c r="M368" s="20" t="s">
        <v>1920</v>
      </c>
      <c r="N368" s="20">
        <v>35</v>
      </c>
      <c r="O368" s="20" t="s">
        <v>30</v>
      </c>
      <c r="P368" s="20" t="s">
        <v>30</v>
      </c>
      <c r="Q368" s="21">
        <v>46261</v>
      </c>
      <c r="R368" s="21">
        <v>46262</v>
      </c>
      <c r="S368" s="21" t="s">
        <v>53</v>
      </c>
      <c r="T368" s="18" t="s">
        <v>31</v>
      </c>
      <c r="U368" s="20" t="s">
        <v>1114</v>
      </c>
    </row>
    <row r="369" spans="1:21" ht="33.6" customHeight="1" thickTop="1" thickBot="1">
      <c r="A369" s="18" t="str">
        <f t="shared" si="5"/>
        <v>agosto</v>
      </c>
      <c r="B369" s="18" t="s">
        <v>1883</v>
      </c>
      <c r="C369" s="7" t="s">
        <v>7</v>
      </c>
      <c r="D369" s="7" t="s">
        <v>8</v>
      </c>
      <c r="E369" s="18" t="s">
        <v>1921</v>
      </c>
      <c r="F369" s="18" t="s">
        <v>1922</v>
      </c>
      <c r="G369" s="18" t="s">
        <v>1923</v>
      </c>
      <c r="H369" s="19" t="s">
        <v>40</v>
      </c>
      <c r="I369" s="18" t="s">
        <v>1924</v>
      </c>
      <c r="J369" s="18" t="s">
        <v>38</v>
      </c>
      <c r="K369" s="18" t="s">
        <v>43</v>
      </c>
      <c r="L369" s="20">
        <v>1502</v>
      </c>
      <c r="M369" s="20" t="s">
        <v>1925</v>
      </c>
      <c r="N369" s="20">
        <v>25</v>
      </c>
      <c r="O369" s="20" t="s">
        <v>30</v>
      </c>
      <c r="P369" s="20" t="s">
        <v>30</v>
      </c>
      <c r="Q369" s="21">
        <v>46261</v>
      </c>
      <c r="R369" s="21">
        <v>46262</v>
      </c>
      <c r="S369" s="21" t="s">
        <v>53</v>
      </c>
      <c r="T369" s="18" t="s">
        <v>31</v>
      </c>
      <c r="U369" s="20" t="s">
        <v>1113</v>
      </c>
    </row>
    <row r="370" spans="1:21" ht="33.6" customHeight="1" thickTop="1" thickBot="1">
      <c r="A370" s="18" t="str">
        <f t="shared" si="5"/>
        <v>agosto</v>
      </c>
      <c r="B370" s="18" t="s">
        <v>1884</v>
      </c>
      <c r="E370" s="18" t="s">
        <v>1926</v>
      </c>
      <c r="F370" s="18" t="s">
        <v>1927</v>
      </c>
      <c r="G370" s="18" t="s">
        <v>1928</v>
      </c>
      <c r="H370" s="19" t="s">
        <v>46</v>
      </c>
      <c r="I370" s="18" t="s">
        <v>1929</v>
      </c>
      <c r="J370" s="18" t="s">
        <v>45</v>
      </c>
      <c r="K370" s="18" t="s">
        <v>34</v>
      </c>
      <c r="L370" s="20">
        <v>1502</v>
      </c>
      <c r="M370" s="20" t="s">
        <v>1930</v>
      </c>
      <c r="N370" s="20" t="s">
        <v>30</v>
      </c>
      <c r="O370" s="20" t="s">
        <v>30</v>
      </c>
      <c r="P370" s="20" t="s">
        <v>30</v>
      </c>
      <c r="Q370" s="21">
        <v>46262</v>
      </c>
      <c r="R370" s="21">
        <v>46262</v>
      </c>
      <c r="S370" s="21" t="s">
        <v>56</v>
      </c>
      <c r="T370" s="18" t="s">
        <v>30</v>
      </c>
      <c r="U370" s="18" t="s">
        <v>30</v>
      </c>
    </row>
    <row r="371" spans="1:21" ht="33.6" customHeight="1" thickTop="1" thickBot="1">
      <c r="A371" s="18" t="str">
        <f t="shared" si="5"/>
        <v>agosto</v>
      </c>
      <c r="B371" s="18" t="s">
        <v>1885</v>
      </c>
      <c r="E371" s="18" t="s">
        <v>1931</v>
      </c>
      <c r="F371" s="18" t="s">
        <v>1932</v>
      </c>
      <c r="G371" s="18" t="s">
        <v>1933</v>
      </c>
      <c r="H371" s="19" t="s">
        <v>37</v>
      </c>
      <c r="I371" s="18" t="s">
        <v>1934</v>
      </c>
      <c r="J371" s="18" t="s">
        <v>38</v>
      </c>
      <c r="K371" s="18" t="s">
        <v>34</v>
      </c>
      <c r="L371" s="20">
        <v>1502</v>
      </c>
      <c r="M371" s="20" t="s">
        <v>1935</v>
      </c>
      <c r="N371" s="20" t="s">
        <v>30</v>
      </c>
      <c r="O371" s="20" t="s">
        <v>30</v>
      </c>
      <c r="P371" s="20" t="s">
        <v>30</v>
      </c>
      <c r="Q371" s="21">
        <v>46262</v>
      </c>
      <c r="R371" s="21">
        <v>46262</v>
      </c>
      <c r="S371" s="21" t="s">
        <v>56</v>
      </c>
      <c r="T371" s="18" t="s">
        <v>30</v>
      </c>
      <c r="U371" s="18" t="s">
        <v>30</v>
      </c>
    </row>
    <row r="372" spans="1:21" ht="33.6" customHeight="1" thickTop="1" thickBot="1">
      <c r="A372" s="18" t="str">
        <f t="shared" si="5"/>
        <v>agosto</v>
      </c>
      <c r="B372" s="18" t="s">
        <v>1886</v>
      </c>
      <c r="C372" s="7" t="s">
        <v>7</v>
      </c>
      <c r="D372" s="7" t="s">
        <v>8</v>
      </c>
      <c r="E372" s="18" t="s">
        <v>1936</v>
      </c>
      <c r="F372" s="18" t="s">
        <v>1937</v>
      </c>
      <c r="G372" s="18" t="s">
        <v>1938</v>
      </c>
      <c r="H372" s="19" t="s">
        <v>64</v>
      </c>
      <c r="I372" s="18" t="s">
        <v>1939</v>
      </c>
      <c r="J372" s="18" t="s">
        <v>51</v>
      </c>
      <c r="K372" s="18" t="s">
        <v>39</v>
      </c>
      <c r="L372" s="20">
        <v>1502</v>
      </c>
      <c r="M372" s="20" t="s">
        <v>1940</v>
      </c>
      <c r="N372" s="20" t="s">
        <v>30</v>
      </c>
      <c r="O372" s="20" t="s">
        <v>30</v>
      </c>
      <c r="P372" s="20" t="s">
        <v>30</v>
      </c>
      <c r="Q372" s="21">
        <v>46262</v>
      </c>
      <c r="R372" s="21">
        <v>46262</v>
      </c>
      <c r="S372" s="21" t="s">
        <v>49</v>
      </c>
      <c r="T372" s="18" t="s">
        <v>31</v>
      </c>
      <c r="U372" s="18" t="s">
        <v>30</v>
      </c>
    </row>
    <row r="373" spans="1:21" ht="33.6" customHeight="1" thickTop="1" thickBot="1">
      <c r="A373" s="18" t="str">
        <f t="shared" si="5"/>
        <v>agosto</v>
      </c>
      <c r="B373" s="18" t="s">
        <v>1123</v>
      </c>
      <c r="C373" s="7" t="s">
        <v>9</v>
      </c>
      <c r="D373" s="7" t="s">
        <v>10</v>
      </c>
      <c r="E373" s="18" t="s">
        <v>1167</v>
      </c>
      <c r="F373" s="18" t="s">
        <v>1168</v>
      </c>
      <c r="G373" s="18" t="s">
        <v>1169</v>
      </c>
      <c r="H373" s="19" t="s">
        <v>40</v>
      </c>
      <c r="I373" s="18" t="s">
        <v>44</v>
      </c>
      <c r="J373" s="18" t="s">
        <v>38</v>
      </c>
      <c r="K373" s="18" t="s">
        <v>63</v>
      </c>
      <c r="L373" s="20">
        <v>1502</v>
      </c>
      <c r="M373" s="20" t="s">
        <v>1949</v>
      </c>
      <c r="N373" s="20" t="s">
        <v>30</v>
      </c>
      <c r="O373" s="20" t="s">
        <v>30</v>
      </c>
      <c r="P373" s="20" t="s">
        <v>30</v>
      </c>
      <c r="Q373" s="21">
        <v>46249</v>
      </c>
      <c r="R373" s="21">
        <v>46263</v>
      </c>
      <c r="S373" s="21" t="s">
        <v>41</v>
      </c>
      <c r="T373" s="18" t="s">
        <v>42</v>
      </c>
      <c r="U373" s="18" t="s">
        <v>30</v>
      </c>
    </row>
    <row r="374" spans="1:21" ht="33.6" customHeight="1" thickTop="1" thickBot="1">
      <c r="A374" s="18" t="str">
        <f t="shared" si="5"/>
        <v>agosto</v>
      </c>
      <c r="B374" s="18" t="s">
        <v>1661</v>
      </c>
      <c r="C374" s="7" t="s">
        <v>7</v>
      </c>
      <c r="D374" s="7" t="s">
        <v>8</v>
      </c>
      <c r="E374" s="18" t="s">
        <v>1683</v>
      </c>
      <c r="F374" s="18" t="s">
        <v>1684</v>
      </c>
      <c r="G374" s="18" t="s">
        <v>1685</v>
      </c>
      <c r="H374" s="19" t="s">
        <v>37</v>
      </c>
      <c r="I374" s="18" t="s">
        <v>1686</v>
      </c>
      <c r="J374" s="18" t="s">
        <v>59</v>
      </c>
      <c r="K374" s="18" t="s">
        <v>34</v>
      </c>
      <c r="L374" s="20">
        <v>1501</v>
      </c>
      <c r="M374" s="20" t="s">
        <v>1950</v>
      </c>
      <c r="N374" s="20" t="s">
        <v>30</v>
      </c>
      <c r="O374" s="20" t="s">
        <v>30</v>
      </c>
      <c r="P374" s="20" t="s">
        <v>30</v>
      </c>
      <c r="Q374" s="21">
        <v>46256</v>
      </c>
      <c r="R374" s="21">
        <v>46263</v>
      </c>
      <c r="S374" s="21" t="s">
        <v>35</v>
      </c>
      <c r="T374" s="18" t="s">
        <v>31</v>
      </c>
      <c r="U374" s="18" t="s">
        <v>30</v>
      </c>
    </row>
    <row r="375" spans="1:21" ht="33.6" customHeight="1" thickTop="1" thickBot="1">
      <c r="A375" s="18" t="str">
        <f t="shared" si="5"/>
        <v>agosto</v>
      </c>
      <c r="B375" s="18" t="s">
        <v>1666</v>
      </c>
      <c r="C375" s="7" t="s">
        <v>7</v>
      </c>
      <c r="D375" s="7" t="s">
        <v>8</v>
      </c>
      <c r="E375" s="18" t="s">
        <v>1712</v>
      </c>
      <c r="F375" s="18" t="s">
        <v>1713</v>
      </c>
      <c r="G375" s="18" t="s">
        <v>1714</v>
      </c>
      <c r="H375" s="19" t="s">
        <v>64</v>
      </c>
      <c r="I375" s="18" t="s">
        <v>1715</v>
      </c>
      <c r="J375" s="18" t="s">
        <v>51</v>
      </c>
      <c r="K375" s="18" t="s">
        <v>43</v>
      </c>
      <c r="L375" s="20">
        <v>1502</v>
      </c>
      <c r="M375" s="20" t="s">
        <v>1951</v>
      </c>
      <c r="N375" s="20">
        <v>65</v>
      </c>
      <c r="O375" s="20" t="s">
        <v>30</v>
      </c>
      <c r="P375" s="20" t="s">
        <v>30</v>
      </c>
      <c r="Q375" s="21">
        <v>46258</v>
      </c>
      <c r="R375" s="21">
        <v>46263</v>
      </c>
      <c r="S375" s="21" t="s">
        <v>49</v>
      </c>
      <c r="T375" s="18" t="s">
        <v>31</v>
      </c>
      <c r="U375" s="18" t="s">
        <v>1113</v>
      </c>
    </row>
    <row r="376" spans="1:21" ht="33.6" customHeight="1" thickTop="1" thickBot="1">
      <c r="A376" s="18" t="str">
        <f t="shared" si="5"/>
        <v>agosto</v>
      </c>
      <c r="B376" s="18" t="s">
        <v>1941</v>
      </c>
      <c r="C376" s="7" t="s">
        <v>7</v>
      </c>
      <c r="D376" s="7" t="s">
        <v>8</v>
      </c>
      <c r="E376" s="18" t="s">
        <v>1952</v>
      </c>
      <c r="F376" s="18" t="s">
        <v>1953</v>
      </c>
      <c r="G376" s="18" t="s">
        <v>1954</v>
      </c>
      <c r="H376" s="19" t="s">
        <v>46</v>
      </c>
      <c r="I376" s="18" t="s">
        <v>1955</v>
      </c>
      <c r="J376" s="18" t="s">
        <v>62</v>
      </c>
      <c r="K376" s="18" t="s">
        <v>43</v>
      </c>
      <c r="L376" s="20">
        <v>1502</v>
      </c>
      <c r="M376" s="20" t="s">
        <v>1956</v>
      </c>
      <c r="N376" s="20" t="s">
        <v>30</v>
      </c>
      <c r="O376" s="20" t="s">
        <v>30</v>
      </c>
      <c r="P376" s="20" t="s">
        <v>30</v>
      </c>
      <c r="Q376" s="21">
        <v>46260</v>
      </c>
      <c r="R376" s="21">
        <v>46263</v>
      </c>
      <c r="S376" s="21" t="s">
        <v>35</v>
      </c>
      <c r="T376" s="18" t="s">
        <v>31</v>
      </c>
      <c r="U376" s="18" t="s">
        <v>1114</v>
      </c>
    </row>
    <row r="377" spans="1:21" ht="33.6" customHeight="1" thickTop="1" thickBot="1">
      <c r="A377" s="18" t="str">
        <f t="shared" si="5"/>
        <v>agosto</v>
      </c>
      <c r="B377" s="18" t="s">
        <v>1942</v>
      </c>
      <c r="C377" s="7" t="s">
        <v>7</v>
      </c>
      <c r="D377" s="7" t="s">
        <v>8</v>
      </c>
      <c r="E377" s="18" t="s">
        <v>1957</v>
      </c>
      <c r="F377" s="18" t="s">
        <v>1958</v>
      </c>
      <c r="G377" s="18" t="s">
        <v>1959</v>
      </c>
      <c r="H377" s="19" t="s">
        <v>32</v>
      </c>
      <c r="I377" s="18" t="s">
        <v>1960</v>
      </c>
      <c r="J377" s="18" t="s">
        <v>57</v>
      </c>
      <c r="K377" s="18" t="s">
        <v>43</v>
      </c>
      <c r="L377" s="20">
        <v>1502</v>
      </c>
      <c r="M377" s="20" t="s">
        <v>1961</v>
      </c>
      <c r="N377" s="20">
        <v>60</v>
      </c>
      <c r="O377" s="20" t="s">
        <v>30</v>
      </c>
      <c r="P377" s="20" t="s">
        <v>30</v>
      </c>
      <c r="Q377" s="21">
        <v>46262</v>
      </c>
      <c r="R377" s="21">
        <v>46263</v>
      </c>
      <c r="S377" s="21" t="s">
        <v>53</v>
      </c>
      <c r="T377" s="18" t="s">
        <v>31</v>
      </c>
      <c r="U377" s="18" t="s">
        <v>1114</v>
      </c>
    </row>
    <row r="378" spans="1:21" ht="33.6" customHeight="1" thickTop="1" thickBot="1">
      <c r="A378" s="18" t="str">
        <f t="shared" si="5"/>
        <v>agosto</v>
      </c>
      <c r="B378" s="18" t="s">
        <v>1943</v>
      </c>
      <c r="C378" s="7" t="s">
        <v>7</v>
      </c>
      <c r="D378" s="7" t="s">
        <v>8</v>
      </c>
      <c r="E378" s="18" t="s">
        <v>1962</v>
      </c>
      <c r="F378" s="18" t="s">
        <v>1963</v>
      </c>
      <c r="G378" s="18" t="s">
        <v>1964</v>
      </c>
      <c r="H378" s="19" t="s">
        <v>37</v>
      </c>
      <c r="I378" s="18" t="s">
        <v>1965</v>
      </c>
      <c r="J378" s="18" t="s">
        <v>60</v>
      </c>
      <c r="K378" s="18" t="s">
        <v>39</v>
      </c>
      <c r="L378" s="20">
        <v>1502</v>
      </c>
      <c r="M378" s="20" t="s">
        <v>1966</v>
      </c>
      <c r="N378" s="20" t="s">
        <v>30</v>
      </c>
      <c r="O378" s="20" t="s">
        <v>30</v>
      </c>
      <c r="P378" s="20" t="s">
        <v>30</v>
      </c>
      <c r="Q378" s="21">
        <v>46262</v>
      </c>
      <c r="R378" s="21">
        <v>46263</v>
      </c>
      <c r="S378" s="21" t="s">
        <v>52</v>
      </c>
      <c r="T378" s="18" t="s">
        <v>31</v>
      </c>
      <c r="U378" s="18" t="s">
        <v>30</v>
      </c>
    </row>
    <row r="379" spans="1:21" ht="33.6" customHeight="1" thickTop="1" thickBot="1">
      <c r="A379" s="18" t="str">
        <f t="shared" si="5"/>
        <v>agosto</v>
      </c>
      <c r="B379" s="18" t="s">
        <v>1944</v>
      </c>
      <c r="C379" s="7" t="s">
        <v>7</v>
      </c>
      <c r="D379" s="7" t="s">
        <v>8</v>
      </c>
      <c r="E379" s="18" t="s">
        <v>1967</v>
      </c>
      <c r="F379" s="18" t="s">
        <v>1968</v>
      </c>
      <c r="G379" s="18" t="s">
        <v>1969</v>
      </c>
      <c r="H379" s="19" t="s">
        <v>32</v>
      </c>
      <c r="I379" s="18" t="s">
        <v>1970</v>
      </c>
      <c r="J379" s="18" t="s">
        <v>57</v>
      </c>
      <c r="K379" s="18" t="s">
        <v>39</v>
      </c>
      <c r="L379" s="20">
        <v>1502</v>
      </c>
      <c r="M379" s="20" t="s">
        <v>1971</v>
      </c>
      <c r="N379" s="20" t="s">
        <v>30</v>
      </c>
      <c r="O379" s="20" t="s">
        <v>30</v>
      </c>
      <c r="P379" s="20" t="s">
        <v>30</v>
      </c>
      <c r="Q379" s="21">
        <v>46262</v>
      </c>
      <c r="R379" s="21">
        <v>46263</v>
      </c>
      <c r="S379" s="21" t="s">
        <v>53</v>
      </c>
      <c r="T379" s="18" t="s">
        <v>31</v>
      </c>
      <c r="U379" s="18" t="s">
        <v>30</v>
      </c>
    </row>
    <row r="380" spans="1:21" ht="33.6" customHeight="1" thickTop="1" thickBot="1">
      <c r="A380" s="18" t="str">
        <f t="shared" si="5"/>
        <v>agosto</v>
      </c>
      <c r="B380" s="18" t="s">
        <v>1945</v>
      </c>
      <c r="C380" s="7" t="s">
        <v>9</v>
      </c>
      <c r="D380" s="7" t="s">
        <v>10</v>
      </c>
      <c r="E380" s="18" t="s">
        <v>1972</v>
      </c>
      <c r="F380" s="18" t="s">
        <v>1973</v>
      </c>
      <c r="G380" s="18" t="s">
        <v>1974</v>
      </c>
      <c r="H380" s="19" t="s">
        <v>46</v>
      </c>
      <c r="I380" s="18" t="s">
        <v>1975</v>
      </c>
      <c r="J380" s="18" t="s">
        <v>45</v>
      </c>
      <c r="K380" s="18" t="s">
        <v>43</v>
      </c>
      <c r="L380" s="20">
        <v>1502</v>
      </c>
      <c r="M380" s="20" t="s">
        <v>1976</v>
      </c>
      <c r="N380" s="20">
        <v>21</v>
      </c>
      <c r="O380" s="20" t="s">
        <v>30</v>
      </c>
      <c r="P380" s="20" t="s">
        <v>30</v>
      </c>
      <c r="Q380" s="21">
        <v>46262</v>
      </c>
      <c r="R380" s="21">
        <v>46263</v>
      </c>
      <c r="S380" s="21" t="s">
        <v>41</v>
      </c>
      <c r="T380" s="18" t="s">
        <v>42</v>
      </c>
      <c r="U380" s="18" t="s">
        <v>1113</v>
      </c>
    </row>
    <row r="381" spans="1:21" ht="33.6" customHeight="1" thickTop="1" thickBot="1">
      <c r="A381" s="18" t="str">
        <f t="shared" si="5"/>
        <v>agosto</v>
      </c>
      <c r="B381" s="18" t="s">
        <v>1886</v>
      </c>
      <c r="C381" s="7" t="s">
        <v>7</v>
      </c>
      <c r="D381" s="7" t="s">
        <v>8</v>
      </c>
      <c r="E381" s="18" t="s">
        <v>1936</v>
      </c>
      <c r="F381" s="18" t="s">
        <v>1937</v>
      </c>
      <c r="G381" s="18" t="s">
        <v>1938</v>
      </c>
      <c r="H381" s="19" t="s">
        <v>64</v>
      </c>
      <c r="I381" s="18" t="s">
        <v>1939</v>
      </c>
      <c r="J381" s="18" t="s">
        <v>51</v>
      </c>
      <c r="K381" s="18" t="s">
        <v>43</v>
      </c>
      <c r="L381" s="20">
        <v>1502</v>
      </c>
      <c r="M381" s="20" t="s">
        <v>1977</v>
      </c>
      <c r="N381" s="20" t="s">
        <v>30</v>
      </c>
      <c r="O381" s="20" t="s">
        <v>30</v>
      </c>
      <c r="P381" s="20" t="s">
        <v>30</v>
      </c>
      <c r="Q381" s="21">
        <v>46262</v>
      </c>
      <c r="R381" s="21">
        <v>46263</v>
      </c>
      <c r="S381" s="21" t="s">
        <v>49</v>
      </c>
      <c r="T381" s="18" t="s">
        <v>31</v>
      </c>
      <c r="U381" s="18" t="s">
        <v>1113</v>
      </c>
    </row>
    <row r="382" spans="1:21" ht="33.6" customHeight="1" thickTop="1" thickBot="1">
      <c r="A382" s="18" t="str">
        <f t="shared" si="5"/>
        <v>agosto</v>
      </c>
      <c r="B382" s="18" t="s">
        <v>1883</v>
      </c>
      <c r="C382" s="7" t="s">
        <v>7</v>
      </c>
      <c r="D382" s="7" t="s">
        <v>8</v>
      </c>
      <c r="E382" s="18" t="s">
        <v>1921</v>
      </c>
      <c r="F382" s="18" t="s">
        <v>1922</v>
      </c>
      <c r="G382" s="18" t="s">
        <v>1923</v>
      </c>
      <c r="H382" s="19" t="s">
        <v>40</v>
      </c>
      <c r="I382" s="18" t="s">
        <v>1978</v>
      </c>
      <c r="J382" s="18" t="s">
        <v>38</v>
      </c>
      <c r="K382" s="18" t="s">
        <v>43</v>
      </c>
      <c r="L382" s="20">
        <v>1502</v>
      </c>
      <c r="M382" s="20" t="s">
        <v>1979</v>
      </c>
      <c r="N382" s="20" t="s">
        <v>1980</v>
      </c>
      <c r="O382" s="20" t="s">
        <v>30</v>
      </c>
      <c r="P382" s="20" t="s">
        <v>30</v>
      </c>
      <c r="Q382" s="21">
        <v>46261</v>
      </c>
      <c r="R382" s="21">
        <v>46263</v>
      </c>
      <c r="S382" s="21" t="s">
        <v>53</v>
      </c>
      <c r="T382" s="18" t="s">
        <v>31</v>
      </c>
      <c r="U382" s="18" t="s">
        <v>1113</v>
      </c>
    </row>
    <row r="383" spans="1:21" ht="33.6" customHeight="1" thickTop="1" thickBot="1">
      <c r="A383" s="18" t="str">
        <f t="shared" si="5"/>
        <v>agosto</v>
      </c>
      <c r="B383" s="18" t="s">
        <v>1946</v>
      </c>
      <c r="C383" s="7" t="s">
        <v>7</v>
      </c>
      <c r="D383" s="7" t="s">
        <v>8</v>
      </c>
      <c r="E383" s="18" t="s">
        <v>1981</v>
      </c>
      <c r="F383" s="18" t="s">
        <v>1982</v>
      </c>
      <c r="G383" s="18" t="s">
        <v>1983</v>
      </c>
      <c r="H383" s="19" t="s">
        <v>37</v>
      </c>
      <c r="I383" s="18" t="s">
        <v>714</v>
      </c>
      <c r="J383" s="18" t="s">
        <v>60</v>
      </c>
      <c r="K383" s="18" t="s">
        <v>43</v>
      </c>
      <c r="L383" s="20">
        <v>1502</v>
      </c>
      <c r="M383" s="20" t="s">
        <v>1984</v>
      </c>
      <c r="N383" s="20" t="s">
        <v>30</v>
      </c>
      <c r="O383" s="20">
        <v>40</v>
      </c>
      <c r="P383" s="20">
        <v>2</v>
      </c>
      <c r="Q383" s="21">
        <v>46263</v>
      </c>
      <c r="R383" s="21">
        <v>46263</v>
      </c>
      <c r="S383" s="21" t="s">
        <v>52</v>
      </c>
      <c r="T383" s="18" t="s">
        <v>31</v>
      </c>
      <c r="U383" s="18" t="s">
        <v>1113</v>
      </c>
    </row>
    <row r="384" spans="1:21" ht="33.6" customHeight="1" thickTop="1" thickBot="1">
      <c r="A384" s="18" t="str">
        <f t="shared" si="5"/>
        <v>agosto</v>
      </c>
      <c r="B384" s="18" t="s">
        <v>1947</v>
      </c>
      <c r="C384" s="7" t="s">
        <v>7</v>
      </c>
      <c r="D384" s="7" t="s">
        <v>8</v>
      </c>
      <c r="E384" s="18" t="s">
        <v>1985</v>
      </c>
      <c r="F384" s="18" t="s">
        <v>1986</v>
      </c>
      <c r="G384" s="18" t="s">
        <v>1987</v>
      </c>
      <c r="H384" s="19" t="s">
        <v>37</v>
      </c>
      <c r="I384" s="18" t="s">
        <v>1988</v>
      </c>
      <c r="J384" s="18" t="s">
        <v>60</v>
      </c>
      <c r="K384" s="18" t="s">
        <v>39</v>
      </c>
      <c r="L384" s="20">
        <v>1502</v>
      </c>
      <c r="M384" s="20" t="s">
        <v>1989</v>
      </c>
      <c r="N384" s="20" t="s">
        <v>30</v>
      </c>
      <c r="O384" s="20" t="s">
        <v>30</v>
      </c>
      <c r="P384" s="20" t="s">
        <v>30</v>
      </c>
      <c r="Q384" s="21">
        <v>46263</v>
      </c>
      <c r="R384" s="21">
        <v>46263</v>
      </c>
      <c r="S384" s="21" t="s">
        <v>52</v>
      </c>
      <c r="T384" s="18" t="s">
        <v>31</v>
      </c>
      <c r="U384" s="18" t="s">
        <v>30</v>
      </c>
    </row>
    <row r="385" spans="1:21" ht="33.6" customHeight="1" thickTop="1" thickBot="1">
      <c r="A385" s="18" t="str">
        <f t="shared" si="5"/>
        <v>agosto</v>
      </c>
      <c r="B385" s="18" t="s">
        <v>1948</v>
      </c>
      <c r="C385" s="7" t="s">
        <v>7</v>
      </c>
      <c r="D385" s="7" t="s">
        <v>8</v>
      </c>
      <c r="E385" s="18" t="s">
        <v>1990</v>
      </c>
      <c r="F385" s="18" t="s">
        <v>1991</v>
      </c>
      <c r="G385" s="18" t="s">
        <v>1992</v>
      </c>
      <c r="H385" s="19" t="s">
        <v>37</v>
      </c>
      <c r="I385" s="18" t="s">
        <v>1993</v>
      </c>
      <c r="J385" s="18" t="s">
        <v>60</v>
      </c>
      <c r="K385" s="18" t="s">
        <v>43</v>
      </c>
      <c r="L385" s="20">
        <v>1502</v>
      </c>
      <c r="M385" s="20" t="s">
        <v>1994</v>
      </c>
      <c r="N385" s="20" t="s">
        <v>30</v>
      </c>
      <c r="O385" s="20">
        <v>70</v>
      </c>
      <c r="P385" s="20">
        <v>2</v>
      </c>
      <c r="Q385" s="21">
        <v>46263</v>
      </c>
      <c r="R385" s="21">
        <v>46263</v>
      </c>
      <c r="S385" s="21" t="s">
        <v>52</v>
      </c>
      <c r="T385" s="18" t="s">
        <v>31</v>
      </c>
      <c r="U385" s="18" t="s">
        <v>1113</v>
      </c>
    </row>
    <row r="386" spans="1:21" ht="33" customHeight="1" thickTop="1" thickBot="1">
      <c r="A386" s="18" t="str">
        <f t="shared" si="5"/>
        <v>agosto</v>
      </c>
      <c r="B386" s="18" t="s">
        <v>1995</v>
      </c>
      <c r="C386" s="7" t="s">
        <v>7</v>
      </c>
      <c r="D386" s="7" t="s">
        <v>8</v>
      </c>
      <c r="E386" s="18" t="s">
        <v>2003</v>
      </c>
      <c r="F386" s="18" t="s">
        <v>2004</v>
      </c>
      <c r="G386" s="18" t="s">
        <v>2005</v>
      </c>
      <c r="H386" s="19" t="s">
        <v>46</v>
      </c>
      <c r="I386" s="18" t="s">
        <v>195</v>
      </c>
      <c r="J386" s="18" t="s">
        <v>62</v>
      </c>
      <c r="K386" s="18" t="s">
        <v>43</v>
      </c>
      <c r="L386" s="20">
        <v>1502</v>
      </c>
      <c r="M386" s="20" t="s">
        <v>66</v>
      </c>
      <c r="N386" s="20" t="s">
        <v>30</v>
      </c>
      <c r="O386" s="20" t="s">
        <v>30</v>
      </c>
      <c r="P386" s="20" t="s">
        <v>30</v>
      </c>
      <c r="Q386" s="21">
        <v>46262</v>
      </c>
      <c r="R386" s="21">
        <v>46265</v>
      </c>
      <c r="S386" s="21" t="s">
        <v>35</v>
      </c>
      <c r="T386" s="20" t="s">
        <v>31</v>
      </c>
      <c r="U386" s="18"/>
    </row>
    <row r="387" spans="1:21" ht="33" customHeight="1" thickTop="1" thickBot="1">
      <c r="A387" s="18" t="str">
        <f t="shared" ref="A387:A397" si="6">TEXT(R387,"MMMM")</f>
        <v>agosto</v>
      </c>
      <c r="B387" s="18" t="s">
        <v>1943</v>
      </c>
      <c r="C387" s="7" t="s">
        <v>7</v>
      </c>
      <c r="D387" s="7" t="s">
        <v>8</v>
      </c>
      <c r="E387" s="18" t="s">
        <v>1962</v>
      </c>
      <c r="F387" s="18" t="s">
        <v>1963</v>
      </c>
      <c r="G387" s="18" t="s">
        <v>1964</v>
      </c>
      <c r="H387" s="19" t="s">
        <v>37</v>
      </c>
      <c r="I387" s="18" t="s">
        <v>1965</v>
      </c>
      <c r="J387" s="18" t="s">
        <v>60</v>
      </c>
      <c r="K387" s="18" t="s">
        <v>34</v>
      </c>
      <c r="L387" s="20">
        <v>1502</v>
      </c>
      <c r="M387" s="20" t="s">
        <v>2006</v>
      </c>
      <c r="N387" s="20" t="s">
        <v>30</v>
      </c>
      <c r="O387" s="20" t="s">
        <v>30</v>
      </c>
      <c r="P387" s="20" t="s">
        <v>30</v>
      </c>
      <c r="Q387" s="21">
        <v>46262</v>
      </c>
      <c r="R387" s="21">
        <v>46265</v>
      </c>
      <c r="S387" s="21" t="s">
        <v>49</v>
      </c>
      <c r="T387" s="20" t="s">
        <v>31</v>
      </c>
      <c r="U387" s="18" t="s">
        <v>30</v>
      </c>
    </row>
    <row r="388" spans="1:21" ht="33" customHeight="1" thickTop="1" thickBot="1">
      <c r="A388" s="18" t="str">
        <f t="shared" si="6"/>
        <v>agosto</v>
      </c>
      <c r="B388" s="18" t="s">
        <v>1996</v>
      </c>
      <c r="C388" s="7" t="s">
        <v>7</v>
      </c>
      <c r="D388" s="7" t="s">
        <v>8</v>
      </c>
      <c r="E388" s="18" t="s">
        <v>277</v>
      </c>
      <c r="F388" s="18" t="s">
        <v>278</v>
      </c>
      <c r="G388" s="18" t="s">
        <v>279</v>
      </c>
      <c r="H388" s="19" t="s">
        <v>32</v>
      </c>
      <c r="I388" s="18" t="s">
        <v>2007</v>
      </c>
      <c r="J388" s="18" t="s">
        <v>33</v>
      </c>
      <c r="K388" s="18" t="s">
        <v>39</v>
      </c>
      <c r="L388" s="20">
        <v>1502</v>
      </c>
      <c r="M388" s="20" t="s">
        <v>2008</v>
      </c>
      <c r="N388" s="20" t="s">
        <v>30</v>
      </c>
      <c r="O388" s="20" t="s">
        <v>30</v>
      </c>
      <c r="P388" s="20" t="s">
        <v>30</v>
      </c>
      <c r="Q388" s="21">
        <v>46263</v>
      </c>
      <c r="R388" s="21">
        <v>46265</v>
      </c>
      <c r="S388" s="21" t="s">
        <v>52</v>
      </c>
      <c r="T388" s="20" t="s">
        <v>31</v>
      </c>
      <c r="U388" s="18" t="s">
        <v>30</v>
      </c>
    </row>
    <row r="389" spans="1:21" ht="33" customHeight="1" thickTop="1" thickBot="1">
      <c r="A389" s="18" t="str">
        <f t="shared" si="6"/>
        <v>agosto</v>
      </c>
      <c r="B389" s="18" t="s">
        <v>1997</v>
      </c>
      <c r="C389" s="7" t="s">
        <v>7</v>
      </c>
      <c r="D389" s="7" t="s">
        <v>8</v>
      </c>
      <c r="E389" s="18" t="s">
        <v>2009</v>
      </c>
      <c r="F389" s="18" t="s">
        <v>2010</v>
      </c>
      <c r="G389" s="18" t="s">
        <v>2011</v>
      </c>
      <c r="H389" s="19" t="s">
        <v>37</v>
      </c>
      <c r="I389" s="18" t="s">
        <v>2012</v>
      </c>
      <c r="J389" s="18" t="s">
        <v>55</v>
      </c>
      <c r="K389" s="18" t="s">
        <v>43</v>
      </c>
      <c r="L389" s="20">
        <v>1502</v>
      </c>
      <c r="M389" s="20" t="s">
        <v>2013</v>
      </c>
      <c r="N389" s="20" t="s">
        <v>30</v>
      </c>
      <c r="O389" s="20" t="s">
        <v>30</v>
      </c>
      <c r="P389" s="20" t="s">
        <v>30</v>
      </c>
      <c r="Q389" s="21">
        <v>46263</v>
      </c>
      <c r="R389" s="21">
        <v>46265</v>
      </c>
      <c r="S389" s="21" t="s">
        <v>52</v>
      </c>
      <c r="T389" s="20" t="s">
        <v>31</v>
      </c>
      <c r="U389" s="18"/>
    </row>
    <row r="390" spans="1:21" ht="33" customHeight="1" thickTop="1" thickBot="1">
      <c r="A390" s="18" t="str">
        <f t="shared" si="6"/>
        <v>agosto</v>
      </c>
      <c r="B390" s="18" t="s">
        <v>1998</v>
      </c>
      <c r="C390" s="7" t="s">
        <v>7</v>
      </c>
      <c r="D390" s="7" t="s">
        <v>8</v>
      </c>
      <c r="E390" s="18" t="s">
        <v>2014</v>
      </c>
      <c r="F390" s="18" t="s">
        <v>2015</v>
      </c>
      <c r="G390" s="18" t="s">
        <v>2016</v>
      </c>
      <c r="H390" s="19" t="s">
        <v>37</v>
      </c>
      <c r="I390" s="18" t="s">
        <v>2017</v>
      </c>
      <c r="J390" s="18" t="s">
        <v>55</v>
      </c>
      <c r="K390" s="18" t="s">
        <v>43</v>
      </c>
      <c r="L390" s="20">
        <v>1502</v>
      </c>
      <c r="M390" s="20" t="s">
        <v>2018</v>
      </c>
      <c r="N390" s="20">
        <v>45</v>
      </c>
      <c r="O390" s="20" t="s">
        <v>30</v>
      </c>
      <c r="P390" s="20" t="s">
        <v>30</v>
      </c>
      <c r="Q390" s="21">
        <v>46263</v>
      </c>
      <c r="R390" s="21">
        <v>46265</v>
      </c>
      <c r="S390" s="21" t="s">
        <v>49</v>
      </c>
      <c r="T390" s="20" t="s">
        <v>31</v>
      </c>
      <c r="U390" s="18"/>
    </row>
    <row r="391" spans="1:21" ht="33" customHeight="1" thickTop="1" thickBot="1">
      <c r="A391" s="18" t="str">
        <f t="shared" si="6"/>
        <v>agosto</v>
      </c>
      <c r="B391" s="18" t="s">
        <v>1999</v>
      </c>
      <c r="C391" s="7" t="s">
        <v>7</v>
      </c>
      <c r="D391" s="7" t="s">
        <v>8</v>
      </c>
      <c r="E391" s="18" t="s">
        <v>2019</v>
      </c>
      <c r="F391" s="18" t="s">
        <v>2020</v>
      </c>
      <c r="G391" s="18" t="s">
        <v>2021</v>
      </c>
      <c r="H391" s="19" t="s">
        <v>32</v>
      </c>
      <c r="I391" s="18" t="s">
        <v>2022</v>
      </c>
      <c r="J391" s="18" t="s">
        <v>57</v>
      </c>
      <c r="K391" s="18" t="s">
        <v>43</v>
      </c>
      <c r="L391" s="20">
        <v>1502</v>
      </c>
      <c r="M391" s="20" t="s">
        <v>2023</v>
      </c>
      <c r="N391" s="20" t="s">
        <v>30</v>
      </c>
      <c r="O391" s="20">
        <v>60</v>
      </c>
      <c r="P391" s="20">
        <v>2</v>
      </c>
      <c r="Q391" s="21">
        <v>46263</v>
      </c>
      <c r="R391" s="21">
        <v>46265</v>
      </c>
      <c r="S391" s="21" t="s">
        <v>35</v>
      </c>
      <c r="T391" s="20" t="s">
        <v>31</v>
      </c>
      <c r="U391" s="18"/>
    </row>
    <row r="392" spans="1:21" ht="33" customHeight="1" thickTop="1" thickBot="1">
      <c r="A392" s="18" t="str">
        <f t="shared" si="6"/>
        <v>agosto</v>
      </c>
      <c r="B392" s="18" t="s">
        <v>2000</v>
      </c>
      <c r="C392" s="7" t="s">
        <v>9</v>
      </c>
      <c r="D392" s="7" t="s">
        <v>10</v>
      </c>
      <c r="E392" s="18" t="s">
        <v>2024</v>
      </c>
      <c r="F392" s="18" t="s">
        <v>2025</v>
      </c>
      <c r="G392" s="18" t="s">
        <v>2026</v>
      </c>
      <c r="H392" s="19" t="s">
        <v>40</v>
      </c>
      <c r="I392" s="18" t="s">
        <v>2027</v>
      </c>
      <c r="J392" s="18" t="s">
        <v>38</v>
      </c>
      <c r="K392" s="18" t="s">
        <v>34</v>
      </c>
      <c r="L392" s="20">
        <v>1502</v>
      </c>
      <c r="M392" s="20" t="s">
        <v>2028</v>
      </c>
      <c r="N392" s="20" t="s">
        <v>30</v>
      </c>
      <c r="O392" s="20" t="s">
        <v>30</v>
      </c>
      <c r="P392" s="20" t="s">
        <v>30</v>
      </c>
      <c r="Q392" s="21">
        <v>46263</v>
      </c>
      <c r="R392" s="21">
        <v>46265</v>
      </c>
      <c r="S392" s="21" t="s">
        <v>41</v>
      </c>
      <c r="T392" s="20" t="s">
        <v>42</v>
      </c>
      <c r="U392" s="18" t="s">
        <v>30</v>
      </c>
    </row>
    <row r="393" spans="1:21" ht="33" customHeight="1" thickTop="1" thickBot="1">
      <c r="A393" s="18" t="str">
        <f t="shared" si="6"/>
        <v>agosto</v>
      </c>
      <c r="B393" s="18" t="s">
        <v>2001</v>
      </c>
      <c r="C393" s="7" t="s">
        <v>9</v>
      </c>
      <c r="D393" s="7" t="s">
        <v>10</v>
      </c>
      <c r="E393" s="18" t="s">
        <v>2029</v>
      </c>
      <c r="F393" s="18" t="s">
        <v>2030</v>
      </c>
      <c r="G393" s="18" t="s">
        <v>2031</v>
      </c>
      <c r="H393" s="19" t="s">
        <v>37</v>
      </c>
      <c r="I393" s="18" t="s">
        <v>2032</v>
      </c>
      <c r="J393" s="18" t="s">
        <v>59</v>
      </c>
      <c r="K393" s="18" t="s">
        <v>39</v>
      </c>
      <c r="L393" s="20">
        <v>1501</v>
      </c>
      <c r="M393" s="20" t="s">
        <v>2033</v>
      </c>
      <c r="N393" s="20" t="s">
        <v>30</v>
      </c>
      <c r="O393" s="20" t="s">
        <v>30</v>
      </c>
      <c r="P393" s="20" t="s">
        <v>30</v>
      </c>
      <c r="Q393" s="21">
        <v>46263</v>
      </c>
      <c r="R393" s="21">
        <v>46265</v>
      </c>
      <c r="S393" s="21" t="s">
        <v>41</v>
      </c>
      <c r="T393" s="20" t="s">
        <v>42</v>
      </c>
      <c r="U393" s="18" t="s">
        <v>30</v>
      </c>
    </row>
    <row r="394" spans="1:21" ht="33" customHeight="1" thickTop="1" thickBot="1">
      <c r="A394" s="18" t="str">
        <f t="shared" si="6"/>
        <v>agosto</v>
      </c>
      <c r="B394" s="18" t="s">
        <v>1944</v>
      </c>
      <c r="C394" s="7" t="s">
        <v>7</v>
      </c>
      <c r="D394" s="7" t="s">
        <v>8</v>
      </c>
      <c r="E394" s="18" t="s">
        <v>1967</v>
      </c>
      <c r="F394" s="18" t="s">
        <v>1968</v>
      </c>
      <c r="G394" s="18" t="s">
        <v>1969</v>
      </c>
      <c r="H394" s="19" t="s">
        <v>32</v>
      </c>
      <c r="I394" s="18" t="s">
        <v>1970</v>
      </c>
      <c r="J394" s="18" t="s">
        <v>57</v>
      </c>
      <c r="K394" s="18" t="s">
        <v>43</v>
      </c>
      <c r="L394" s="20">
        <v>1502</v>
      </c>
      <c r="M394" s="20" t="s">
        <v>2034</v>
      </c>
      <c r="N394" s="20">
        <v>50</v>
      </c>
      <c r="O394" s="20" t="s">
        <v>30</v>
      </c>
      <c r="P394" s="20" t="s">
        <v>30</v>
      </c>
      <c r="Q394" s="21">
        <v>46262</v>
      </c>
      <c r="R394" s="21">
        <v>46265</v>
      </c>
      <c r="S394" s="21" t="s">
        <v>35</v>
      </c>
      <c r="T394" s="20" t="s">
        <v>31</v>
      </c>
      <c r="U394" s="18"/>
    </row>
    <row r="395" spans="1:21" ht="33" customHeight="1" thickTop="1" thickBot="1">
      <c r="A395" s="18" t="str">
        <f t="shared" si="6"/>
        <v>agosto</v>
      </c>
      <c r="B395" s="18" t="s">
        <v>1744</v>
      </c>
      <c r="C395" s="7" t="s">
        <v>7</v>
      </c>
      <c r="D395" s="7" t="s">
        <v>8</v>
      </c>
      <c r="E395" s="18" t="s">
        <v>1764</v>
      </c>
      <c r="F395" s="18" t="s">
        <v>1765</v>
      </c>
      <c r="G395" s="18" t="s">
        <v>1766</v>
      </c>
      <c r="H395" s="19" t="s">
        <v>32</v>
      </c>
      <c r="I395" s="18" t="s">
        <v>1767</v>
      </c>
      <c r="J395" s="18" t="s">
        <v>33</v>
      </c>
      <c r="K395" s="18" t="s">
        <v>43</v>
      </c>
      <c r="L395" s="20">
        <v>1502</v>
      </c>
      <c r="M395" s="20" t="s">
        <v>2035</v>
      </c>
      <c r="N395" s="20">
        <v>50</v>
      </c>
      <c r="O395" s="20" t="s">
        <v>30</v>
      </c>
      <c r="P395" s="20" t="s">
        <v>30</v>
      </c>
      <c r="Q395" s="21">
        <v>46258</v>
      </c>
      <c r="R395" s="21">
        <v>46265</v>
      </c>
      <c r="S395" s="21" t="s">
        <v>52</v>
      </c>
      <c r="T395" s="20" t="s">
        <v>31</v>
      </c>
      <c r="U395" s="18"/>
    </row>
    <row r="396" spans="1:21" ht="33" customHeight="1" thickTop="1" thickBot="1">
      <c r="A396" s="18" t="str">
        <f t="shared" si="6"/>
        <v>agosto</v>
      </c>
      <c r="B396" s="18" t="s">
        <v>1996</v>
      </c>
      <c r="C396" s="7" t="s">
        <v>7</v>
      </c>
      <c r="D396" s="7" t="s">
        <v>8</v>
      </c>
      <c r="E396" s="18" t="s">
        <v>277</v>
      </c>
      <c r="F396" s="18" t="s">
        <v>278</v>
      </c>
      <c r="G396" s="18" t="s">
        <v>279</v>
      </c>
      <c r="H396" s="19" t="s">
        <v>32</v>
      </c>
      <c r="I396" s="18" t="s">
        <v>2007</v>
      </c>
      <c r="J396" s="18" t="s">
        <v>33</v>
      </c>
      <c r="K396" s="18" t="s">
        <v>34</v>
      </c>
      <c r="L396" s="20">
        <v>1502</v>
      </c>
      <c r="M396" s="20" t="s">
        <v>2036</v>
      </c>
      <c r="N396" s="20" t="s">
        <v>30</v>
      </c>
      <c r="O396" s="20" t="s">
        <v>30</v>
      </c>
      <c r="P396" s="20" t="s">
        <v>30</v>
      </c>
      <c r="Q396" s="21">
        <v>46263</v>
      </c>
      <c r="R396" s="21">
        <v>46265</v>
      </c>
      <c r="S396" s="21" t="s">
        <v>52</v>
      </c>
      <c r="T396" s="20" t="s">
        <v>31</v>
      </c>
      <c r="U396" s="18" t="s">
        <v>30</v>
      </c>
    </row>
    <row r="397" spans="1:21" ht="33" customHeight="1" thickTop="1">
      <c r="A397" s="18" t="str">
        <f t="shared" si="6"/>
        <v>agosto</v>
      </c>
      <c r="B397" s="18" t="s">
        <v>2002</v>
      </c>
      <c r="C397" s="7" t="s">
        <v>9</v>
      </c>
      <c r="D397" s="7" t="s">
        <v>10</v>
      </c>
      <c r="E397" s="18" t="s">
        <v>2037</v>
      </c>
      <c r="F397" s="18" t="s">
        <v>2038</v>
      </c>
      <c r="G397" s="18" t="s">
        <v>2039</v>
      </c>
      <c r="H397" s="19" t="s">
        <v>40</v>
      </c>
      <c r="I397" s="18" t="s">
        <v>2040</v>
      </c>
      <c r="J397" s="18" t="s">
        <v>38</v>
      </c>
      <c r="K397" s="18" t="s">
        <v>43</v>
      </c>
      <c r="L397" s="20">
        <v>1502</v>
      </c>
      <c r="M397" s="20" t="s">
        <v>2041</v>
      </c>
      <c r="N397" s="20">
        <v>41</v>
      </c>
      <c r="O397" s="20" t="s">
        <v>30</v>
      </c>
      <c r="P397" s="20" t="s">
        <v>30</v>
      </c>
      <c r="Q397" s="21">
        <v>46265</v>
      </c>
      <c r="R397" s="21">
        <v>46265</v>
      </c>
      <c r="S397" s="21" t="s">
        <v>41</v>
      </c>
      <c r="T397" s="20" t="s">
        <v>42</v>
      </c>
      <c r="U397" s="18"/>
    </row>
  </sheetData>
  <phoneticPr fontId="6" type="noConversion"/>
  <conditionalFormatting sqref="B1">
    <cfRule type="duplicateValues" dxfId="2" priority="1171"/>
  </conditionalFormatting>
  <conditionalFormatting sqref="F1">
    <cfRule type="duplicateValues" dxfId="1" priority="1172"/>
  </conditionalFormatting>
  <conditionalFormatting sqref="G1">
    <cfRule type="duplicateValues" dxfId="0" priority="1173"/>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sheetPr>
  <dimension ref="A3:AU19"/>
  <sheetViews>
    <sheetView showGridLines="0" topLeftCell="W1" workbookViewId="0">
      <selection activeCell="AH18" sqref="AH18"/>
    </sheetView>
  </sheetViews>
  <sheetFormatPr baseColWidth="10" defaultColWidth="9.140625" defaultRowHeight="15"/>
  <cols>
    <col min="1" max="1" width="43.140625"/>
    <col min="2" max="2" width="17.5703125" customWidth="1"/>
    <col min="3" max="3" width="24.85546875" bestFit="1" customWidth="1"/>
    <col min="4" max="27" width="11.42578125" customWidth="1"/>
    <col min="28" max="28" width="19.7109375" bestFit="1" customWidth="1"/>
    <col min="29" max="29" width="11.5703125" hidden="1" customWidth="1"/>
    <col min="30" max="30" width="15.5703125" customWidth="1"/>
    <col min="31" max="31" width="5.140625" customWidth="1"/>
    <col min="32" max="32" width="10.28515625" bestFit="1" customWidth="1"/>
    <col min="33" max="45" width="23.7109375" bestFit="1" customWidth="1"/>
    <col min="46" max="47" width="10.42578125" customWidth="1"/>
  </cols>
  <sheetData>
    <row r="3" spans="1:47">
      <c r="A3" s="9" t="s">
        <v>0</v>
      </c>
      <c r="D3" s="9" t="s">
        <v>1</v>
      </c>
    </row>
    <row r="4" spans="1:47" ht="25.5" customHeight="1">
      <c r="A4" s="11" t="s">
        <v>2</v>
      </c>
      <c r="B4" s="11" t="s">
        <v>3</v>
      </c>
      <c r="C4" s="11" t="s">
        <v>4</v>
      </c>
      <c r="D4" s="22">
        <v>46235</v>
      </c>
      <c r="E4" s="22">
        <v>46237</v>
      </c>
      <c r="F4" s="22">
        <v>46238</v>
      </c>
      <c r="G4" s="22">
        <v>46239</v>
      </c>
      <c r="H4" s="22">
        <v>46240</v>
      </c>
      <c r="I4" s="22">
        <v>46242</v>
      </c>
      <c r="J4" s="22">
        <v>46244</v>
      </c>
      <c r="K4" s="22">
        <v>46245</v>
      </c>
      <c r="L4" s="22">
        <v>46246</v>
      </c>
      <c r="M4" s="22">
        <v>46247</v>
      </c>
      <c r="N4" s="22">
        <v>46248</v>
      </c>
      <c r="O4" s="22">
        <v>46249</v>
      </c>
      <c r="P4" s="22">
        <v>46252</v>
      </c>
      <c r="Q4" s="22">
        <v>46253</v>
      </c>
      <c r="R4" s="22">
        <v>46254</v>
      </c>
      <c r="S4" s="22">
        <v>46255</v>
      </c>
      <c r="T4" s="22">
        <v>46256</v>
      </c>
      <c r="U4" s="22">
        <v>46258</v>
      </c>
      <c r="V4" s="22">
        <v>46259</v>
      </c>
      <c r="W4" s="22">
        <v>46260</v>
      </c>
      <c r="X4" s="22">
        <v>46261</v>
      </c>
      <c r="Y4" s="22">
        <v>46262</v>
      </c>
      <c r="Z4" s="22">
        <v>46263</v>
      </c>
      <c r="AA4" s="22">
        <v>46265</v>
      </c>
      <c r="AB4" s="10" t="s">
        <v>5</v>
      </c>
      <c r="AE4" s="10"/>
      <c r="AF4" s="8" t="s">
        <v>6</v>
      </c>
      <c r="AU4" s="10"/>
    </row>
    <row r="5" spans="1:47">
      <c r="A5" t="s">
        <v>7</v>
      </c>
      <c r="D5">
        <v>8</v>
      </c>
      <c r="E5">
        <v>13</v>
      </c>
      <c r="F5">
        <v>14</v>
      </c>
      <c r="G5">
        <v>12</v>
      </c>
      <c r="H5">
        <v>14</v>
      </c>
      <c r="I5">
        <v>11</v>
      </c>
      <c r="J5">
        <v>14</v>
      </c>
      <c r="K5">
        <v>11</v>
      </c>
      <c r="L5">
        <v>12</v>
      </c>
      <c r="M5">
        <v>13</v>
      </c>
      <c r="N5">
        <v>10</v>
      </c>
      <c r="O5">
        <v>10</v>
      </c>
      <c r="P5">
        <v>11</v>
      </c>
      <c r="Q5">
        <v>11</v>
      </c>
      <c r="R5">
        <v>14</v>
      </c>
      <c r="S5">
        <v>12</v>
      </c>
      <c r="T5">
        <v>11</v>
      </c>
      <c r="U5">
        <v>12</v>
      </c>
      <c r="V5">
        <v>11</v>
      </c>
      <c r="W5">
        <v>10</v>
      </c>
      <c r="X5">
        <v>9</v>
      </c>
      <c r="Y5">
        <v>10</v>
      </c>
      <c r="Z5">
        <v>11</v>
      </c>
      <c r="AA5">
        <v>9</v>
      </c>
      <c r="AB5">
        <v>273</v>
      </c>
      <c r="AF5" s="12"/>
    </row>
    <row r="6" spans="1:47">
      <c r="A6" t="s">
        <v>7</v>
      </c>
      <c r="B6" t="s">
        <v>8</v>
      </c>
      <c r="D6">
        <v>8</v>
      </c>
      <c r="E6">
        <v>13</v>
      </c>
      <c r="F6">
        <v>14</v>
      </c>
      <c r="G6">
        <v>12</v>
      </c>
      <c r="H6">
        <v>14</v>
      </c>
      <c r="I6">
        <v>11</v>
      </c>
      <c r="J6">
        <v>14</v>
      </c>
      <c r="K6">
        <v>11</v>
      </c>
      <c r="L6">
        <v>12</v>
      </c>
      <c r="M6">
        <v>13</v>
      </c>
      <c r="N6">
        <v>10</v>
      </c>
      <c r="O6">
        <v>10</v>
      </c>
      <c r="P6">
        <v>11</v>
      </c>
      <c r="Q6">
        <v>11</v>
      </c>
      <c r="R6">
        <v>14</v>
      </c>
      <c r="S6">
        <v>12</v>
      </c>
      <c r="T6">
        <v>11</v>
      </c>
      <c r="U6">
        <v>12</v>
      </c>
      <c r="V6">
        <v>11</v>
      </c>
      <c r="W6">
        <v>10</v>
      </c>
      <c r="X6">
        <v>9</v>
      </c>
      <c r="Y6">
        <v>10</v>
      </c>
      <c r="Z6">
        <v>11</v>
      </c>
      <c r="AA6">
        <v>9</v>
      </c>
      <c r="AB6">
        <v>273</v>
      </c>
      <c r="AF6" s="12"/>
    </row>
    <row r="7" spans="1:47">
      <c r="A7" t="s">
        <v>7</v>
      </c>
      <c r="B7" t="s">
        <v>8</v>
      </c>
      <c r="C7" s="24" t="s">
        <v>35</v>
      </c>
      <c r="D7">
        <v>2</v>
      </c>
      <c r="E7">
        <v>3</v>
      </c>
      <c r="F7">
        <v>3</v>
      </c>
      <c r="G7">
        <v>2</v>
      </c>
      <c r="H7">
        <v>3</v>
      </c>
      <c r="I7">
        <v>3</v>
      </c>
      <c r="J7">
        <v>5</v>
      </c>
      <c r="K7">
        <v>2</v>
      </c>
      <c r="L7">
        <v>3</v>
      </c>
      <c r="M7">
        <v>3</v>
      </c>
      <c r="N7">
        <v>2</v>
      </c>
      <c r="O7">
        <v>3</v>
      </c>
      <c r="P7">
        <v>4</v>
      </c>
      <c r="Q7">
        <v>3</v>
      </c>
      <c r="R7">
        <v>4</v>
      </c>
      <c r="S7">
        <v>3</v>
      </c>
      <c r="T7">
        <v>3</v>
      </c>
      <c r="U7">
        <v>4</v>
      </c>
      <c r="V7">
        <v>3</v>
      </c>
      <c r="W7">
        <v>2</v>
      </c>
      <c r="X7">
        <v>2</v>
      </c>
      <c r="Y7">
        <v>2</v>
      </c>
      <c r="Z7">
        <v>2</v>
      </c>
      <c r="AA7">
        <v>3</v>
      </c>
      <c r="AB7">
        <v>69</v>
      </c>
      <c r="AF7" s="12">
        <f>COUNT(D7:AA7)</f>
        <v>24</v>
      </c>
    </row>
    <row r="8" spans="1:47">
      <c r="A8" t="s">
        <v>7</v>
      </c>
      <c r="B8" t="s">
        <v>8</v>
      </c>
      <c r="C8" s="24" t="s">
        <v>49</v>
      </c>
      <c r="D8">
        <v>2</v>
      </c>
      <c r="E8">
        <v>3</v>
      </c>
      <c r="F8">
        <v>3</v>
      </c>
      <c r="G8">
        <v>5</v>
      </c>
      <c r="H8">
        <v>5</v>
      </c>
      <c r="I8">
        <v>2</v>
      </c>
      <c r="J8">
        <v>3</v>
      </c>
      <c r="K8">
        <v>3</v>
      </c>
      <c r="L8">
        <v>3</v>
      </c>
      <c r="M8">
        <v>3</v>
      </c>
      <c r="N8">
        <v>3</v>
      </c>
      <c r="O8">
        <v>2</v>
      </c>
      <c r="P8">
        <v>2</v>
      </c>
      <c r="Q8">
        <v>3</v>
      </c>
      <c r="R8">
        <v>4</v>
      </c>
      <c r="S8">
        <v>3</v>
      </c>
      <c r="T8">
        <v>3</v>
      </c>
      <c r="U8">
        <v>3</v>
      </c>
      <c r="V8">
        <v>3</v>
      </c>
      <c r="W8">
        <v>2</v>
      </c>
      <c r="X8">
        <v>2</v>
      </c>
      <c r="Y8">
        <v>3</v>
      </c>
      <c r="Z8">
        <v>2</v>
      </c>
      <c r="AA8">
        <v>2</v>
      </c>
      <c r="AB8">
        <v>69</v>
      </c>
      <c r="AF8" s="12">
        <f>COUNT(D8:AA8)</f>
        <v>24</v>
      </c>
    </row>
    <row r="9" spans="1:47">
      <c r="A9" t="s">
        <v>7</v>
      </c>
      <c r="B9" t="s">
        <v>8</v>
      </c>
      <c r="C9" s="24" t="s">
        <v>53</v>
      </c>
      <c r="D9">
        <v>2</v>
      </c>
      <c r="E9">
        <v>3</v>
      </c>
      <c r="F9">
        <v>3</v>
      </c>
      <c r="G9">
        <v>3</v>
      </c>
      <c r="H9">
        <v>3</v>
      </c>
      <c r="I9">
        <v>3</v>
      </c>
      <c r="J9">
        <v>2</v>
      </c>
      <c r="K9">
        <v>3</v>
      </c>
      <c r="L9">
        <v>3</v>
      </c>
      <c r="M9">
        <v>4</v>
      </c>
      <c r="N9">
        <v>2</v>
      </c>
      <c r="O9">
        <v>2</v>
      </c>
      <c r="P9">
        <v>3</v>
      </c>
      <c r="Q9">
        <v>2</v>
      </c>
      <c r="R9">
        <v>2</v>
      </c>
      <c r="S9">
        <v>3</v>
      </c>
      <c r="T9">
        <v>3</v>
      </c>
      <c r="U9">
        <v>3</v>
      </c>
      <c r="V9">
        <v>2</v>
      </c>
      <c r="W9">
        <v>3</v>
      </c>
      <c r="X9">
        <v>3</v>
      </c>
      <c r="Y9">
        <v>2</v>
      </c>
      <c r="Z9">
        <v>3</v>
      </c>
      <c r="AB9">
        <v>62</v>
      </c>
      <c r="AF9" s="12">
        <f>COUNT(D9:AA9)</f>
        <v>23</v>
      </c>
    </row>
    <row r="10" spans="1:47">
      <c r="A10" t="s">
        <v>7</v>
      </c>
      <c r="B10" t="s">
        <v>8</v>
      </c>
      <c r="C10" s="24" t="s">
        <v>52</v>
      </c>
      <c r="D10">
        <v>2</v>
      </c>
      <c r="E10">
        <v>4</v>
      </c>
      <c r="F10">
        <v>5</v>
      </c>
      <c r="G10">
        <v>2</v>
      </c>
      <c r="H10">
        <v>3</v>
      </c>
      <c r="I10">
        <v>3</v>
      </c>
      <c r="J10">
        <v>4</v>
      </c>
      <c r="K10">
        <v>3</v>
      </c>
      <c r="L10">
        <v>3</v>
      </c>
      <c r="M10">
        <v>3</v>
      </c>
      <c r="N10">
        <v>3</v>
      </c>
      <c r="O10">
        <v>3</v>
      </c>
      <c r="P10">
        <v>2</v>
      </c>
      <c r="Q10">
        <v>3</v>
      </c>
      <c r="R10">
        <v>4</v>
      </c>
      <c r="S10">
        <v>3</v>
      </c>
      <c r="T10">
        <v>2</v>
      </c>
      <c r="U10">
        <v>2</v>
      </c>
      <c r="V10">
        <v>3</v>
      </c>
      <c r="W10">
        <v>3</v>
      </c>
      <c r="X10">
        <v>2</v>
      </c>
      <c r="Y10">
        <v>3</v>
      </c>
      <c r="Z10">
        <v>4</v>
      </c>
      <c r="AA10">
        <v>4</v>
      </c>
      <c r="AB10">
        <v>73</v>
      </c>
      <c r="AF10" s="12">
        <f>COUNT(D10:AA10)</f>
        <v>24</v>
      </c>
    </row>
    <row r="11" spans="1:47">
      <c r="A11" t="s">
        <v>9</v>
      </c>
      <c r="D11">
        <v>2</v>
      </c>
      <c r="E11">
        <v>2</v>
      </c>
      <c r="F11">
        <v>2</v>
      </c>
      <c r="G11">
        <v>3</v>
      </c>
      <c r="H11">
        <v>3</v>
      </c>
      <c r="I11">
        <v>4</v>
      </c>
      <c r="J11">
        <v>3</v>
      </c>
      <c r="K11">
        <v>3</v>
      </c>
      <c r="L11">
        <v>4</v>
      </c>
      <c r="M11">
        <v>2</v>
      </c>
      <c r="N11">
        <v>3</v>
      </c>
      <c r="O11">
        <v>3</v>
      </c>
      <c r="P11">
        <v>4</v>
      </c>
      <c r="Q11">
        <v>3</v>
      </c>
      <c r="R11">
        <v>3</v>
      </c>
      <c r="S11">
        <v>3</v>
      </c>
      <c r="T11">
        <v>2</v>
      </c>
      <c r="U11">
        <v>2</v>
      </c>
      <c r="V11">
        <v>2</v>
      </c>
      <c r="W11">
        <v>3</v>
      </c>
      <c r="X11">
        <v>2</v>
      </c>
      <c r="Y11">
        <v>2</v>
      </c>
      <c r="Z11">
        <v>2</v>
      </c>
      <c r="AA11">
        <v>3</v>
      </c>
      <c r="AB11">
        <v>65</v>
      </c>
      <c r="AF11" s="12"/>
    </row>
    <row r="12" spans="1:47">
      <c r="A12" t="s">
        <v>9</v>
      </c>
      <c r="B12" t="s">
        <v>10</v>
      </c>
      <c r="D12">
        <v>2</v>
      </c>
      <c r="E12">
        <v>2</v>
      </c>
      <c r="F12">
        <v>2</v>
      </c>
      <c r="G12">
        <v>3</v>
      </c>
      <c r="H12">
        <v>3</v>
      </c>
      <c r="I12">
        <v>4</v>
      </c>
      <c r="J12">
        <v>3</v>
      </c>
      <c r="K12">
        <v>3</v>
      </c>
      <c r="L12">
        <v>4</v>
      </c>
      <c r="M12">
        <v>2</v>
      </c>
      <c r="N12">
        <v>3</v>
      </c>
      <c r="O12">
        <v>3</v>
      </c>
      <c r="P12">
        <v>4</v>
      </c>
      <c r="Q12">
        <v>3</v>
      </c>
      <c r="R12">
        <v>3</v>
      </c>
      <c r="S12">
        <v>3</v>
      </c>
      <c r="T12">
        <v>2</v>
      </c>
      <c r="U12">
        <v>2</v>
      </c>
      <c r="V12">
        <v>2</v>
      </c>
      <c r="W12">
        <v>3</v>
      </c>
      <c r="X12">
        <v>2</v>
      </c>
      <c r="Y12">
        <v>2</v>
      </c>
      <c r="Z12">
        <v>2</v>
      </c>
      <c r="AA12">
        <v>3</v>
      </c>
      <c r="AB12">
        <v>65</v>
      </c>
      <c r="AF12" s="12"/>
    </row>
    <row r="13" spans="1:47">
      <c r="A13" t="s">
        <v>9</v>
      </c>
      <c r="B13" t="s">
        <v>10</v>
      </c>
      <c r="C13" s="24" t="s">
        <v>41</v>
      </c>
      <c r="D13">
        <v>2</v>
      </c>
      <c r="E13">
        <v>2</v>
      </c>
      <c r="F13">
        <v>2</v>
      </c>
      <c r="G13">
        <v>3</v>
      </c>
      <c r="H13">
        <v>3</v>
      </c>
      <c r="I13">
        <v>4</v>
      </c>
      <c r="J13">
        <v>3</v>
      </c>
      <c r="K13">
        <v>3</v>
      </c>
      <c r="L13">
        <v>4</v>
      </c>
      <c r="M13">
        <v>2</v>
      </c>
      <c r="N13">
        <v>3</v>
      </c>
      <c r="O13">
        <v>3</v>
      </c>
      <c r="P13">
        <v>4</v>
      </c>
      <c r="Q13">
        <v>3</v>
      </c>
      <c r="R13">
        <v>3</v>
      </c>
      <c r="S13">
        <v>3</v>
      </c>
      <c r="T13">
        <v>2</v>
      </c>
      <c r="U13">
        <v>2</v>
      </c>
      <c r="V13">
        <v>2</v>
      </c>
      <c r="W13">
        <v>3</v>
      </c>
      <c r="X13">
        <v>2</v>
      </c>
      <c r="Y13">
        <v>2</v>
      </c>
      <c r="Z13">
        <v>2</v>
      </c>
      <c r="AA13">
        <v>3</v>
      </c>
      <c r="AB13">
        <v>65</v>
      </c>
      <c r="AF13" s="23">
        <f>COUNT(D13:AA13)</f>
        <v>24</v>
      </c>
    </row>
    <row r="14" spans="1:47">
      <c r="A14" t="s">
        <v>5</v>
      </c>
      <c r="D14">
        <v>10</v>
      </c>
      <c r="E14">
        <v>15</v>
      </c>
      <c r="F14">
        <v>16</v>
      </c>
      <c r="G14">
        <v>15</v>
      </c>
      <c r="H14">
        <v>17</v>
      </c>
      <c r="I14">
        <v>15</v>
      </c>
      <c r="J14">
        <v>17</v>
      </c>
      <c r="K14">
        <v>14</v>
      </c>
      <c r="L14">
        <v>16</v>
      </c>
      <c r="M14">
        <v>15</v>
      </c>
      <c r="N14">
        <v>13</v>
      </c>
      <c r="O14">
        <v>13</v>
      </c>
      <c r="P14">
        <v>15</v>
      </c>
      <c r="Q14">
        <v>14</v>
      </c>
      <c r="R14">
        <v>17</v>
      </c>
      <c r="S14">
        <v>15</v>
      </c>
      <c r="T14">
        <v>13</v>
      </c>
      <c r="U14">
        <v>14</v>
      </c>
      <c r="V14">
        <v>13</v>
      </c>
      <c r="W14">
        <v>13</v>
      </c>
      <c r="X14">
        <v>11</v>
      </c>
      <c r="Y14">
        <v>12</v>
      </c>
      <c r="Z14">
        <v>13</v>
      </c>
      <c r="AA14">
        <v>12</v>
      </c>
      <c r="AB14">
        <v>338</v>
      </c>
      <c r="AF14" s="13">
        <f>SUM(AF7+AF8+AF9+AF10+AF13+AF11)</f>
        <v>119</v>
      </c>
    </row>
    <row r="17" spans="30:32">
      <c r="AD17" s="14" t="s">
        <v>27</v>
      </c>
      <c r="AE17" s="14"/>
      <c r="AF17" s="16">
        <f>SUM(AF13)</f>
        <v>24</v>
      </c>
    </row>
    <row r="18" spans="30:32">
      <c r="AD18" s="15" t="s">
        <v>28</v>
      </c>
      <c r="AE18" s="15"/>
      <c r="AF18" s="16">
        <f>SUM(AF7:AF10)</f>
        <v>95</v>
      </c>
    </row>
    <row r="19" spans="30:32">
      <c r="AD19" s="17" t="s">
        <v>29</v>
      </c>
      <c r="AE19" s="17"/>
      <c r="AF19" s="16">
        <f>SUM(AF17:AF18)</f>
        <v>119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FB53E-6282-4CBC-AF6F-1C656EF2764C}">
  <dimension ref="A1:B3"/>
  <sheetViews>
    <sheetView workbookViewId="0">
      <selection activeCell="A3" sqref="A3:B3"/>
    </sheetView>
  </sheetViews>
  <sheetFormatPr baseColWidth="10" defaultRowHeight="15"/>
  <cols>
    <col min="1" max="1" width="20" customWidth="1"/>
    <col min="2" max="2" width="19" customWidth="1"/>
  </cols>
  <sheetData>
    <row r="1" spans="1:2" ht="15.75" thickBot="1"/>
    <row r="2" spans="1:2" ht="36" customHeight="1" thickTop="1" thickBot="1">
      <c r="A2" s="7" t="s">
        <v>7</v>
      </c>
      <c r="B2" s="7" t="s">
        <v>8</v>
      </c>
    </row>
    <row r="3" spans="1:2" ht="39" thickTop="1">
      <c r="A3" s="7" t="s">
        <v>9</v>
      </c>
      <c r="B3" s="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AGOSTO 2026</vt:lpstr>
      <vt:lpstr>TD</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crtolproy</dc:creator>
  <cp:lastModifiedBy>consorciobftel2</cp:lastModifiedBy>
  <dcterms:created xsi:type="dcterms:W3CDTF">2019-11-25T21:29:00Z</dcterms:created>
  <dcterms:modified xsi:type="dcterms:W3CDTF">2026-09-16T04:46:10Z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1033-11.8.2.8426</vt:lpwstr>
  </property>
</Properties>
</file>